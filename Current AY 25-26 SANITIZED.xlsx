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montgomery/Documents/"/>
    </mc:Choice>
  </mc:AlternateContent>
  <xr:revisionPtr revIDLastSave="0" documentId="8_{89B10EBC-3A53-6F46-A535-12C048B40A0B}" xr6:coauthVersionLast="47" xr6:coauthVersionMax="47" xr10:uidLastSave="{00000000-0000-0000-0000-000000000000}"/>
  <bookViews>
    <workbookView xWindow="0" yWindow="680" windowWidth="34560" windowHeight="20420" activeTab="2" xr2:uid="{00000000-000D-0000-FFFF-FFFF00000000}"/>
  </bookViews>
  <sheets>
    <sheet name="Block Schedule" sheetId="17" r:id="rId1"/>
    <sheet name="Block 9" sheetId="20" r:id="rId2"/>
    <sheet name="Template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1" i="20" l="1"/>
  <c r="BR42" i="20"/>
  <c r="BQ42" i="20"/>
  <c r="BP42" i="20"/>
  <c r="BO42" i="20"/>
  <c r="BN42" i="20" a="1"/>
  <c r="BN42" i="20" s="1"/>
  <c r="BM42" i="20" a="1"/>
  <c r="BM42" i="20" s="1"/>
  <c r="BK42" i="20"/>
  <c r="BJ42" i="20" a="1"/>
  <c r="BJ42" i="20" s="1"/>
  <c r="BL42" i="20" s="1"/>
  <c r="BR41" i="20"/>
  <c r="BQ41" i="20"/>
  <c r="BP41" i="20"/>
  <c r="BO41" i="20"/>
  <c r="BN41" i="20" a="1"/>
  <c r="BN41" i="20" s="1"/>
  <c r="BM41" i="20" a="1"/>
  <c r="BM41" i="20" s="1"/>
  <c r="BK41" i="20"/>
  <c r="BJ41" i="20" a="1"/>
  <c r="BJ41" i="20" s="1"/>
  <c r="BL41" i="20" s="1"/>
  <c r="BR40" i="20"/>
  <c r="BQ40" i="20"/>
  <c r="BP40" i="20"/>
  <c r="BO40" i="20"/>
  <c r="BN40" i="20" a="1"/>
  <c r="BN40" i="20" s="1"/>
  <c r="BM40" i="20" a="1"/>
  <c r="BM40" i="20" s="1"/>
  <c r="BK40" i="20"/>
  <c r="BJ40" i="20" a="1"/>
  <c r="BJ40" i="20" s="1"/>
  <c r="BL40" i="20" s="1"/>
  <c r="BR39" i="20"/>
  <c r="BQ39" i="20"/>
  <c r="BP39" i="20"/>
  <c r="BO39" i="20"/>
  <c r="BN39" i="20" a="1"/>
  <c r="BN39" i="20" s="1"/>
  <c r="BM39" i="20" a="1"/>
  <c r="BM39" i="20" s="1"/>
  <c r="BK39" i="20"/>
  <c r="BJ39" i="20" a="1"/>
  <c r="BJ39" i="20" s="1"/>
  <c r="BL39" i="20" s="1"/>
  <c r="BR38" i="20"/>
  <c r="BQ38" i="20"/>
  <c r="BP38" i="20"/>
  <c r="BO38" i="20"/>
  <c r="BN38" i="20" a="1"/>
  <c r="BN38" i="20" s="1"/>
  <c r="BM38" i="20" a="1"/>
  <c r="BM38" i="20" s="1"/>
  <c r="BK38" i="20"/>
  <c r="BJ38" i="20" a="1"/>
  <c r="BJ38" i="20" s="1"/>
  <c r="BL38" i="20" s="1"/>
  <c r="BR37" i="20"/>
  <c r="BQ37" i="20"/>
  <c r="BP37" i="20"/>
  <c r="BO37" i="20"/>
  <c r="BN37" i="20" a="1"/>
  <c r="BN37" i="20" s="1"/>
  <c r="BM37" i="20" a="1"/>
  <c r="BM37" i="20" s="1"/>
  <c r="BK37" i="20"/>
  <c r="BJ37" i="20" a="1"/>
  <c r="BJ37" i="20" s="1"/>
  <c r="BL37" i="20" s="1"/>
  <c r="BR36" i="20"/>
  <c r="BQ36" i="20"/>
  <c r="BP36" i="20"/>
  <c r="BO36" i="20"/>
  <c r="BN36" i="20" a="1"/>
  <c r="BN36" i="20" s="1"/>
  <c r="BM36" i="20" a="1"/>
  <c r="BM36" i="20" s="1"/>
  <c r="BK36" i="20"/>
  <c r="BJ36" i="20" a="1"/>
  <c r="BJ36" i="20" s="1"/>
  <c r="BL36" i="20" s="1"/>
  <c r="BR35" i="20"/>
  <c r="BQ35" i="20"/>
  <c r="BP35" i="20"/>
  <c r="BO35" i="20"/>
  <c r="BN35" i="20" a="1"/>
  <c r="BN35" i="20" s="1"/>
  <c r="BM35" i="20" a="1"/>
  <c r="BM35" i="20" s="1"/>
  <c r="BK35" i="20"/>
  <c r="BJ35" i="20" a="1"/>
  <c r="BJ35" i="20" s="1"/>
  <c r="BL35" i="20" s="1"/>
  <c r="BR34" i="20"/>
  <c r="BQ34" i="20"/>
  <c r="BP34" i="20"/>
  <c r="BO34" i="20"/>
  <c r="BN34" i="20" a="1"/>
  <c r="BN34" i="20" s="1"/>
  <c r="BM34" i="20" a="1"/>
  <c r="BM34" i="20" s="1"/>
  <c r="BK34" i="20"/>
  <c r="BJ34" i="20" a="1"/>
  <c r="BJ34" i="20" s="1"/>
  <c r="BL34" i="20" s="1"/>
  <c r="BR33" i="20"/>
  <c r="BQ33" i="20"/>
  <c r="BP33" i="20"/>
  <c r="BO33" i="20"/>
  <c r="BN33" i="20" a="1"/>
  <c r="BN33" i="20" s="1"/>
  <c r="BM33" i="20" a="1"/>
  <c r="BM33" i="20" s="1"/>
  <c r="BK33" i="20"/>
  <c r="BJ33" i="20" a="1"/>
  <c r="BJ33" i="20" s="1"/>
  <c r="BL33" i="20" s="1"/>
  <c r="BR32" i="20"/>
  <c r="BQ32" i="20"/>
  <c r="BP32" i="20"/>
  <c r="BO32" i="20"/>
  <c r="BN32" i="20" a="1"/>
  <c r="BN32" i="20" s="1"/>
  <c r="BM32" i="20" a="1"/>
  <c r="BM32" i="20" s="1"/>
  <c r="BK32" i="20"/>
  <c r="BJ32" i="20" a="1"/>
  <c r="BJ32" i="20" s="1"/>
  <c r="BL32" i="20" s="1"/>
  <c r="BR31" i="20"/>
  <c r="BQ31" i="20"/>
  <c r="BP31" i="20"/>
  <c r="BP43" i="20" s="1"/>
  <c r="BO31" i="20"/>
  <c r="BO43" i="20" s="1"/>
  <c r="BN31" i="20" a="1"/>
  <c r="BN31" i="20" s="1"/>
  <c r="BN43" i="20" s="1"/>
  <c r="BM31" i="20" a="1"/>
  <c r="BM31" i="20" s="1"/>
  <c r="BM43" i="20" s="1"/>
  <c r="BK31" i="20"/>
  <c r="BK43" i="20" s="1"/>
  <c r="BJ31" i="20" a="1"/>
  <c r="BJ31" i="20" s="1"/>
  <c r="BQ28" i="20"/>
  <c r="BP28" i="20"/>
  <c r="BO28" i="20" a="1"/>
  <c r="BO28" i="20" s="1"/>
  <c r="BN28" i="20"/>
  <c r="BM28" i="20"/>
  <c r="BK28" i="20"/>
  <c r="BJ28" i="20" a="1"/>
  <c r="BJ28" i="20" s="1"/>
  <c r="BL28" i="20" s="1"/>
  <c r="BQ27" i="20"/>
  <c r="BP27" i="20"/>
  <c r="BO27" i="20" a="1"/>
  <c r="BO27" i="20" s="1"/>
  <c r="BN27" i="20"/>
  <c r="BM27" i="20"/>
  <c r="BK27" i="20"/>
  <c r="BJ27" i="20" a="1"/>
  <c r="BJ27" i="20" s="1"/>
  <c r="BL27" i="20" s="1"/>
  <c r="BQ26" i="20"/>
  <c r="BP26" i="20"/>
  <c r="BO26" i="20" a="1"/>
  <c r="BO26" i="20" s="1"/>
  <c r="BN26" i="20"/>
  <c r="BM26" i="20"/>
  <c r="BK26" i="20"/>
  <c r="BJ26" i="20" a="1"/>
  <c r="BJ26" i="20" s="1"/>
  <c r="BL26" i="20" s="1"/>
  <c r="BQ25" i="20"/>
  <c r="BP25" i="20"/>
  <c r="BO25" i="20" a="1"/>
  <c r="BO25" i="20" s="1"/>
  <c r="BN25" i="20"/>
  <c r="BM25" i="20"/>
  <c r="BK25" i="20"/>
  <c r="BJ25" i="20" a="1"/>
  <c r="BJ25" i="20" s="1"/>
  <c r="BL25" i="20" s="1"/>
  <c r="BQ24" i="20"/>
  <c r="BP24" i="20"/>
  <c r="BO24" i="20" a="1"/>
  <c r="BO24" i="20" s="1"/>
  <c r="BN24" i="20"/>
  <c r="BM24" i="20"/>
  <c r="BK24" i="20"/>
  <c r="BJ24" i="20" a="1"/>
  <c r="BJ24" i="20" s="1"/>
  <c r="BL24" i="20" s="1"/>
  <c r="BQ23" i="20"/>
  <c r="BP23" i="20"/>
  <c r="BO23" i="20" a="1"/>
  <c r="BO23" i="20" s="1"/>
  <c r="BN23" i="20"/>
  <c r="BM23" i="20"/>
  <c r="BK23" i="20"/>
  <c r="BJ23" i="20" a="1"/>
  <c r="BJ23" i="20" s="1"/>
  <c r="BL23" i="20" s="1"/>
  <c r="BQ22" i="20"/>
  <c r="BP22" i="20"/>
  <c r="BO22" i="20" a="1"/>
  <c r="BO22" i="20" s="1"/>
  <c r="BN22" i="20"/>
  <c r="BM22" i="20"/>
  <c r="BK22" i="20"/>
  <c r="BJ22" i="20" a="1"/>
  <c r="BJ22" i="20" s="1"/>
  <c r="BL22" i="20" s="1"/>
  <c r="BQ21" i="20"/>
  <c r="BP21" i="20"/>
  <c r="BO21" i="20" a="1"/>
  <c r="BO21" i="20" s="1"/>
  <c r="BN21" i="20"/>
  <c r="BM21" i="20"/>
  <c r="BK21" i="20"/>
  <c r="BJ21" i="20" a="1"/>
  <c r="BJ21" i="20" s="1"/>
  <c r="BL21" i="20" s="1"/>
  <c r="BQ20" i="20"/>
  <c r="BP20" i="20"/>
  <c r="BO20" i="20" a="1"/>
  <c r="BO20" i="20" s="1"/>
  <c r="BN20" i="20"/>
  <c r="BM20" i="20"/>
  <c r="BK20" i="20"/>
  <c r="BJ20" i="20" a="1"/>
  <c r="BJ20" i="20" s="1"/>
  <c r="BL20" i="20" s="1"/>
  <c r="BQ19" i="20"/>
  <c r="BP19" i="20"/>
  <c r="BO19" i="20" a="1"/>
  <c r="BO19" i="20" s="1"/>
  <c r="BN19" i="20"/>
  <c r="BM19" i="20"/>
  <c r="BK19" i="20"/>
  <c r="BJ19" i="20" a="1"/>
  <c r="BJ19" i="20" s="1"/>
  <c r="BL19" i="20" s="1"/>
  <c r="BQ18" i="20"/>
  <c r="BP18" i="20"/>
  <c r="BO18" i="20" a="1"/>
  <c r="BO18" i="20" s="1"/>
  <c r="BN18" i="20"/>
  <c r="BM18" i="20"/>
  <c r="BK18" i="20"/>
  <c r="BJ18" i="20" a="1"/>
  <c r="BJ18" i="20" s="1"/>
  <c r="BL18" i="20" s="1"/>
  <c r="BQ17" i="20"/>
  <c r="BP17" i="20"/>
  <c r="BO17" i="20" a="1"/>
  <c r="BO17" i="20" s="1"/>
  <c r="BN17" i="20"/>
  <c r="BM17" i="20"/>
  <c r="BK17" i="20"/>
  <c r="BJ17" i="20" a="1"/>
  <c r="BJ17" i="20" s="1"/>
  <c r="BL17" i="20" s="1"/>
  <c r="BQ16" i="20"/>
  <c r="BP16" i="20"/>
  <c r="BO16" i="20" a="1"/>
  <c r="BO16" i="20" s="1"/>
  <c r="BN16" i="20"/>
  <c r="BM16" i="20"/>
  <c r="BK16" i="20"/>
  <c r="BJ16" i="20" a="1"/>
  <c r="BJ16" i="20" s="1"/>
  <c r="BL16" i="20" s="1"/>
  <c r="BQ15" i="20"/>
  <c r="BP15" i="20"/>
  <c r="BO15" i="20" a="1"/>
  <c r="BO15" i="20" s="1"/>
  <c r="BN15" i="20"/>
  <c r="BM15" i="20"/>
  <c r="BK15" i="20"/>
  <c r="BJ15" i="20" a="1"/>
  <c r="BJ15" i="20" s="1"/>
  <c r="BL15" i="20" s="1"/>
  <c r="BQ14" i="20"/>
  <c r="BP14" i="20"/>
  <c r="BO14" i="20" a="1"/>
  <c r="BO14" i="20" s="1"/>
  <c r="BN14" i="20"/>
  <c r="BM14" i="20"/>
  <c r="BK14" i="20"/>
  <c r="BJ14" i="20" a="1"/>
  <c r="BJ14" i="20" s="1"/>
  <c r="BL14" i="20" s="1"/>
  <c r="BQ13" i="20"/>
  <c r="BP13" i="20"/>
  <c r="BO13" i="20" a="1"/>
  <c r="BO13" i="20" s="1"/>
  <c r="BN13" i="20"/>
  <c r="BM13" i="20"/>
  <c r="BK13" i="20"/>
  <c r="BJ13" i="20" a="1"/>
  <c r="BJ13" i="20" s="1"/>
  <c r="BL13" i="20" s="1"/>
  <c r="BQ12" i="20"/>
  <c r="BP12" i="20"/>
  <c r="BO12" i="20" a="1"/>
  <c r="BO12" i="20" s="1"/>
  <c r="BN12" i="20"/>
  <c r="BM12" i="20"/>
  <c r="BK12" i="20"/>
  <c r="BJ12" i="20" a="1"/>
  <c r="BJ12" i="20" s="1"/>
  <c r="BL12" i="20" s="1"/>
  <c r="BQ11" i="20"/>
  <c r="BP11" i="20"/>
  <c r="BO11" i="20" a="1"/>
  <c r="BO11" i="20" s="1"/>
  <c r="BN11" i="20"/>
  <c r="BM11" i="20"/>
  <c r="BK11" i="20"/>
  <c r="BJ11" i="20" a="1"/>
  <c r="BJ11" i="20" s="1"/>
  <c r="BL11" i="20" s="1"/>
  <c r="BQ10" i="20"/>
  <c r="BP10" i="20"/>
  <c r="BO10" i="20" a="1"/>
  <c r="BO10" i="20" s="1"/>
  <c r="BN10" i="20"/>
  <c r="BM10" i="20"/>
  <c r="BK10" i="20"/>
  <c r="BJ10" i="20" a="1"/>
  <c r="BJ10" i="20" s="1"/>
  <c r="BL10" i="20" s="1"/>
  <c r="BQ9" i="20"/>
  <c r="BP29" i="20" s="1"/>
  <c r="BP9" i="20"/>
  <c r="BO29" i="20" s="1"/>
  <c r="BO9" i="20" a="1"/>
  <c r="BO9" i="20" s="1"/>
  <c r="BN29" i="20" s="1"/>
  <c r="BN9" i="20"/>
  <c r="BM9" i="20"/>
  <c r="BM29" i="20" s="1"/>
  <c r="BK9" i="20"/>
  <c r="BK29" i="20" s="1"/>
  <c r="BJ9" i="20" a="1"/>
  <c r="BJ9" i="20" s="1"/>
  <c r="BI81" i="20"/>
  <c r="BH81" i="20"/>
  <c r="BG81" i="20"/>
  <c r="BF81" i="20"/>
  <c r="BE81" i="20"/>
  <c r="BD81" i="20"/>
  <c r="AY81" i="20"/>
  <c r="AX81" i="20"/>
  <c r="AW81" i="20"/>
  <c r="AV81" i="20"/>
  <c r="AU81" i="20"/>
  <c r="AT81" i="20"/>
  <c r="AS81" i="20"/>
  <c r="AR81" i="20"/>
  <c r="AQ81" i="20"/>
  <c r="AP81" i="20"/>
  <c r="AK81" i="20"/>
  <c r="AJ81" i="20"/>
  <c r="AI81" i="20"/>
  <c r="AH81" i="20"/>
  <c r="AG81" i="20"/>
  <c r="AF81" i="20"/>
  <c r="AE81" i="20"/>
  <c r="AD81" i="20"/>
  <c r="AC81" i="20"/>
  <c r="W81" i="20"/>
  <c r="V81" i="20"/>
  <c r="U81" i="20"/>
  <c r="T81" i="20"/>
  <c r="S81" i="20"/>
  <c r="R81" i="20"/>
  <c r="Q81" i="20"/>
  <c r="P81" i="20"/>
  <c r="O81" i="20"/>
  <c r="N81" i="20"/>
  <c r="I81" i="20"/>
  <c r="H81" i="20"/>
  <c r="G81" i="20"/>
  <c r="F81" i="20"/>
  <c r="BI79" i="20"/>
  <c r="BH79" i="20"/>
  <c r="BG79" i="20"/>
  <c r="BF79" i="20"/>
  <c r="BE79" i="20"/>
  <c r="BD79" i="20"/>
  <c r="AY79" i="20"/>
  <c r="AX79" i="20"/>
  <c r="AW79" i="20"/>
  <c r="AV79" i="20"/>
  <c r="AU79" i="20"/>
  <c r="AT79" i="20"/>
  <c r="AS79" i="20"/>
  <c r="AR79" i="20"/>
  <c r="AQ79" i="20"/>
  <c r="AP79" i="20"/>
  <c r="AK79" i="20"/>
  <c r="AJ79" i="20"/>
  <c r="AI79" i="20"/>
  <c r="AH79" i="20"/>
  <c r="AG79" i="20"/>
  <c r="AF79" i="20"/>
  <c r="AE79" i="20"/>
  <c r="AD79" i="20"/>
  <c r="AC79" i="20"/>
  <c r="AB79" i="20"/>
  <c r="W79" i="20"/>
  <c r="V79" i="20"/>
  <c r="U79" i="20"/>
  <c r="T79" i="20"/>
  <c r="S79" i="20"/>
  <c r="R79" i="20"/>
  <c r="Q79" i="20"/>
  <c r="P79" i="20"/>
  <c r="O79" i="20"/>
  <c r="N79" i="20"/>
  <c r="I79" i="20"/>
  <c r="H79" i="20"/>
  <c r="G79" i="20"/>
  <c r="F79" i="20"/>
  <c r="BI78" i="20"/>
  <c r="BH78" i="20"/>
  <c r="BG78" i="20"/>
  <c r="BF78" i="20"/>
  <c r="BE78" i="20"/>
  <c r="BD78" i="20"/>
  <c r="AY78" i="20"/>
  <c r="AX78" i="20"/>
  <c r="AW78" i="20"/>
  <c r="AV78" i="20"/>
  <c r="AU78" i="20"/>
  <c r="AT78" i="20"/>
  <c r="AS78" i="20"/>
  <c r="AR78" i="20"/>
  <c r="AQ78" i="20"/>
  <c r="AP78" i="20"/>
  <c r="AK78" i="20"/>
  <c r="AJ78" i="20"/>
  <c r="AI78" i="20"/>
  <c r="AH78" i="20"/>
  <c r="AG78" i="20"/>
  <c r="AF78" i="20"/>
  <c r="AE78" i="20"/>
  <c r="AD78" i="20"/>
  <c r="AC78" i="20"/>
  <c r="AB78" i="20"/>
  <c r="W78" i="20"/>
  <c r="V78" i="20"/>
  <c r="U78" i="20"/>
  <c r="T78" i="20"/>
  <c r="S78" i="20"/>
  <c r="R78" i="20"/>
  <c r="Q78" i="20"/>
  <c r="P78" i="20"/>
  <c r="O78" i="20"/>
  <c r="N78" i="20"/>
  <c r="I78" i="20"/>
  <c r="H78" i="20"/>
  <c r="G78" i="20"/>
  <c r="F78" i="20"/>
  <c r="BI77" i="20"/>
  <c r="BH77" i="20"/>
  <c r="BG77" i="20"/>
  <c r="BF77" i="20"/>
  <c r="BE77" i="20"/>
  <c r="BD77" i="20"/>
  <c r="AY77" i="20"/>
  <c r="AX77" i="20"/>
  <c r="AW77" i="20"/>
  <c r="AV77" i="20"/>
  <c r="AU77" i="20"/>
  <c r="AT77" i="20"/>
  <c r="AS77" i="20"/>
  <c r="AR77" i="20"/>
  <c r="AQ77" i="20"/>
  <c r="AP77" i="20"/>
  <c r="AK77" i="20"/>
  <c r="AJ77" i="20"/>
  <c r="AI77" i="20"/>
  <c r="AH77" i="20"/>
  <c r="AG77" i="20"/>
  <c r="AF77" i="20"/>
  <c r="AE77" i="20"/>
  <c r="AD77" i="20"/>
  <c r="AC77" i="20"/>
  <c r="AB77" i="20"/>
  <c r="W77" i="20"/>
  <c r="V77" i="20"/>
  <c r="U77" i="20"/>
  <c r="T77" i="20"/>
  <c r="S77" i="20"/>
  <c r="R77" i="20"/>
  <c r="Q77" i="20"/>
  <c r="P77" i="20"/>
  <c r="O77" i="20"/>
  <c r="N77" i="20"/>
  <c r="I77" i="20"/>
  <c r="H77" i="20"/>
  <c r="G77" i="20"/>
  <c r="BI75" i="20"/>
  <c r="BH75" i="20"/>
  <c r="BG75" i="20"/>
  <c r="BF75" i="20"/>
  <c r="BE75" i="20"/>
  <c r="BD75" i="20"/>
  <c r="AY75" i="20"/>
  <c r="AX75" i="20"/>
  <c r="AW75" i="20"/>
  <c r="AV75" i="20"/>
  <c r="AU75" i="20"/>
  <c r="AT75" i="20"/>
  <c r="AS75" i="20"/>
  <c r="AR75" i="20"/>
  <c r="AQ75" i="20"/>
  <c r="AP75" i="20"/>
  <c r="AK75" i="20"/>
  <c r="AJ75" i="20"/>
  <c r="AI75" i="20"/>
  <c r="AH75" i="20"/>
  <c r="AG75" i="20"/>
  <c r="AF75" i="20"/>
  <c r="AE75" i="20"/>
  <c r="AD75" i="20"/>
  <c r="AC75" i="20"/>
  <c r="AB75" i="20"/>
  <c r="W75" i="20"/>
  <c r="V75" i="20"/>
  <c r="U75" i="20"/>
  <c r="T75" i="20"/>
  <c r="S75" i="20"/>
  <c r="R75" i="20"/>
  <c r="Q75" i="20"/>
  <c r="P75" i="20"/>
  <c r="O75" i="20"/>
  <c r="N75" i="20"/>
  <c r="I75" i="20"/>
  <c r="H75" i="20"/>
  <c r="G75" i="20"/>
  <c r="F75" i="20"/>
  <c r="BI74" i="20"/>
  <c r="BI76" i="20" s="1"/>
  <c r="BI80" i="20" s="1"/>
  <c r="BH74" i="20"/>
  <c r="BG74" i="20"/>
  <c r="BG76" i="20" s="1"/>
  <c r="BG80" i="20" s="1"/>
  <c r="BF74" i="20"/>
  <c r="BE74" i="20"/>
  <c r="BE76" i="20" s="1"/>
  <c r="BE80" i="20" s="1"/>
  <c r="BD74" i="20"/>
  <c r="AY74" i="20"/>
  <c r="AY76" i="20" s="1"/>
  <c r="AY80" i="20" s="1"/>
  <c r="AX74" i="20"/>
  <c r="AW74" i="20"/>
  <c r="AW76" i="20" s="1"/>
  <c r="AW80" i="20" s="1"/>
  <c r="AV74" i="20"/>
  <c r="AU74" i="20"/>
  <c r="AU76" i="20" s="1"/>
  <c r="AU80" i="20" s="1"/>
  <c r="AT74" i="20"/>
  <c r="AS74" i="20"/>
  <c r="AS76" i="20" s="1"/>
  <c r="AS80" i="20" s="1"/>
  <c r="AR74" i="20"/>
  <c r="AQ74" i="20"/>
  <c r="AQ76" i="20" s="1"/>
  <c r="AQ80" i="20" s="1"/>
  <c r="AP74" i="20"/>
  <c r="AK74" i="20"/>
  <c r="AK76" i="20" s="1"/>
  <c r="AK80" i="20" s="1"/>
  <c r="AJ74" i="20"/>
  <c r="AI74" i="20"/>
  <c r="AI76" i="20" s="1"/>
  <c r="AI80" i="20" s="1"/>
  <c r="AH74" i="20"/>
  <c r="AG74" i="20"/>
  <c r="AG76" i="20" s="1"/>
  <c r="AG80" i="20" s="1"/>
  <c r="AF74" i="20"/>
  <c r="AE74" i="20"/>
  <c r="AE76" i="20" s="1"/>
  <c r="AE80" i="20" s="1"/>
  <c r="AD74" i="20"/>
  <c r="AC74" i="20"/>
  <c r="AC76" i="20" s="1"/>
  <c r="AC80" i="20" s="1"/>
  <c r="AB74" i="20"/>
  <c r="W74" i="20"/>
  <c r="W76" i="20" s="1"/>
  <c r="W80" i="20" s="1"/>
  <c r="V74" i="20"/>
  <c r="U74" i="20"/>
  <c r="U76" i="20" s="1"/>
  <c r="U80" i="20" s="1"/>
  <c r="T74" i="20"/>
  <c r="T76" i="20" s="1"/>
  <c r="T80" i="20" s="1"/>
  <c r="S74" i="20"/>
  <c r="S76" i="20" s="1"/>
  <c r="S80" i="20" s="1"/>
  <c r="R74" i="20"/>
  <c r="Q74" i="20"/>
  <c r="Q76" i="20" s="1"/>
  <c r="Q80" i="20" s="1"/>
  <c r="P74" i="20"/>
  <c r="O74" i="20"/>
  <c r="O76" i="20" s="1"/>
  <c r="O80" i="20" s="1"/>
  <c r="N74" i="20"/>
  <c r="N76" i="20" s="1"/>
  <c r="I74" i="20"/>
  <c r="I76" i="20" s="1"/>
  <c r="I80" i="20" s="1"/>
  <c r="H74" i="20"/>
  <c r="G74" i="20"/>
  <c r="G76" i="20" s="1"/>
  <c r="G80" i="20" s="1"/>
  <c r="F74" i="20"/>
  <c r="BI73" i="20"/>
  <c r="BH73" i="20"/>
  <c r="BG73" i="20"/>
  <c r="BF73" i="20"/>
  <c r="BE73" i="20"/>
  <c r="BD73" i="20"/>
  <c r="AY73" i="20"/>
  <c r="AX73" i="20"/>
  <c r="AW73" i="20"/>
  <c r="AV73" i="20"/>
  <c r="AU73" i="20"/>
  <c r="AT73" i="20"/>
  <c r="AS73" i="20"/>
  <c r="AR73" i="20"/>
  <c r="AQ73" i="20"/>
  <c r="AP73" i="20"/>
  <c r="AK73" i="20"/>
  <c r="AJ73" i="20"/>
  <c r="AI73" i="20"/>
  <c r="AH73" i="20"/>
  <c r="AG73" i="20"/>
  <c r="AF73" i="20"/>
  <c r="AE73" i="20"/>
  <c r="AD73" i="20"/>
  <c r="AC73" i="20"/>
  <c r="AB73" i="20"/>
  <c r="W73" i="20"/>
  <c r="V73" i="20"/>
  <c r="U73" i="20"/>
  <c r="T73" i="20"/>
  <c r="S73" i="20"/>
  <c r="R73" i="20"/>
  <c r="Q73" i="20"/>
  <c r="P73" i="20"/>
  <c r="O73" i="20"/>
  <c r="N73" i="20"/>
  <c r="I73" i="20"/>
  <c r="H73" i="20"/>
  <c r="G73" i="20"/>
  <c r="F73" i="20"/>
  <c r="BI72" i="20"/>
  <c r="BH72" i="20"/>
  <c r="BG72" i="20"/>
  <c r="BF72" i="20"/>
  <c r="BE72" i="20"/>
  <c r="BD72" i="20"/>
  <c r="AY72" i="20"/>
  <c r="AX72" i="20"/>
  <c r="AW72" i="20"/>
  <c r="AV72" i="20"/>
  <c r="AU72" i="20"/>
  <c r="AT72" i="20"/>
  <c r="AS72" i="20"/>
  <c r="AR72" i="20"/>
  <c r="AQ72" i="20"/>
  <c r="AP72" i="20"/>
  <c r="AK72" i="20"/>
  <c r="AJ72" i="20"/>
  <c r="AI72" i="20"/>
  <c r="AH72" i="20"/>
  <c r="AG72" i="20"/>
  <c r="AF72" i="20"/>
  <c r="AE72" i="20"/>
  <c r="AD72" i="20"/>
  <c r="AC72" i="20"/>
  <c r="AB72" i="20"/>
  <c r="W72" i="20"/>
  <c r="V72" i="20"/>
  <c r="U72" i="20"/>
  <c r="T72" i="20"/>
  <c r="S72" i="20"/>
  <c r="R72" i="20"/>
  <c r="Q72" i="20"/>
  <c r="P72" i="20"/>
  <c r="O72" i="20"/>
  <c r="N72" i="20"/>
  <c r="I72" i="20"/>
  <c r="H72" i="20"/>
  <c r="G72" i="20"/>
  <c r="F72" i="20"/>
  <c r="BH76" i="20" l="1"/>
  <c r="BH80" i="20" s="1"/>
  <c r="BF76" i="20"/>
  <c r="BF80" i="20" s="1"/>
  <c r="BD76" i="20"/>
  <c r="BD80" i="20" s="1"/>
  <c r="AX76" i="20"/>
  <c r="AX80" i="20" s="1"/>
  <c r="AV76" i="20"/>
  <c r="AV80" i="20" s="1"/>
  <c r="AT76" i="20"/>
  <c r="AT80" i="20" s="1"/>
  <c r="AR76" i="20"/>
  <c r="AR80" i="20" s="1"/>
  <c r="AP76" i="20"/>
  <c r="AP80" i="20" s="1"/>
  <c r="AJ76" i="20"/>
  <c r="AJ80" i="20" s="1"/>
  <c r="AH76" i="20"/>
  <c r="AH80" i="20" s="1"/>
  <c r="AF76" i="20"/>
  <c r="AF80" i="20" s="1"/>
  <c r="AD76" i="20"/>
  <c r="AD80" i="20" s="1"/>
  <c r="AB76" i="20"/>
  <c r="AB80" i="20" s="1"/>
  <c r="V76" i="20"/>
  <c r="V80" i="20" s="1"/>
  <c r="R76" i="20"/>
  <c r="R80" i="20" s="1"/>
  <c r="P76" i="20"/>
  <c r="P80" i="20" s="1"/>
  <c r="N80" i="20"/>
  <c r="BR43" i="20"/>
  <c r="H76" i="20"/>
  <c r="H80" i="20" s="1"/>
  <c r="F76" i="20"/>
  <c r="F80" i="20" s="1"/>
  <c r="BQ43" i="20"/>
  <c r="BJ29" i="20"/>
  <c r="BL9" i="20"/>
  <c r="BL29" i="20" s="1"/>
  <c r="BJ43" i="20"/>
  <c r="BL31" i="20"/>
  <c r="BL43" i="20" s="1"/>
  <c r="BK44" i="20"/>
  <c r="BK45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<sst xmlns="http://schemas.openxmlformats.org/spreadsheetml/2006/main" count="9745" uniqueCount="607">
  <si>
    <t>Start</t>
  </si>
  <si>
    <t>block 1</t>
  </si>
  <si>
    <t>block 2</t>
  </si>
  <si>
    <t>block 3</t>
  </si>
  <si>
    <t>block 4</t>
  </si>
  <si>
    <t xml:space="preserve">block 5 </t>
  </si>
  <si>
    <t>block 6</t>
  </si>
  <si>
    <t xml:space="preserve">block 7 </t>
  </si>
  <si>
    <t>block 8</t>
  </si>
  <si>
    <t>block 9</t>
  </si>
  <si>
    <t>block 10</t>
  </si>
  <si>
    <t>block 11</t>
  </si>
  <si>
    <t>block 12</t>
  </si>
  <si>
    <t>block 13</t>
  </si>
  <si>
    <t>Block 1</t>
  </si>
  <si>
    <t>Block 2</t>
  </si>
  <si>
    <t>Block 3</t>
  </si>
  <si>
    <t>End</t>
  </si>
  <si>
    <t xml:space="preserve">1July- 30July </t>
  </si>
  <si>
    <t>31 July - 27 Aug</t>
  </si>
  <si>
    <t>28 Aug - 24 Sep</t>
  </si>
  <si>
    <t>25 Sept - 22 Oct</t>
  </si>
  <si>
    <t>23 Oct to 19 Nov</t>
  </si>
  <si>
    <t>20 Nov to 17 Dec</t>
  </si>
  <si>
    <t>18 Dec 2025 to 14 Jan</t>
  </si>
  <si>
    <t>15 Jan to 11 Feb</t>
  </si>
  <si>
    <t>12 Febr to 11 Mar</t>
  </si>
  <si>
    <t xml:space="preserve">12 Mar to 8 April </t>
  </si>
  <si>
    <t xml:space="preserve">9 April to 6 May </t>
  </si>
  <si>
    <t xml:space="preserve">7 May to 3 June </t>
  </si>
  <si>
    <t xml:space="preserve">4 June to 30 June </t>
  </si>
  <si>
    <t xml:space="preserve">PGY1 Rotations </t>
  </si>
  <si>
    <t>FMO</t>
  </si>
  <si>
    <t>ICU</t>
  </si>
  <si>
    <t>MSK-Select</t>
  </si>
  <si>
    <t>L and D at TAMC</t>
  </si>
  <si>
    <t>FMIT1</t>
  </si>
  <si>
    <t>IM</t>
  </si>
  <si>
    <t>Procedures</t>
  </si>
  <si>
    <t>Kapiolani  L and D</t>
  </si>
  <si>
    <t>Peds Clinic</t>
  </si>
  <si>
    <t>FMC</t>
  </si>
  <si>
    <t>NBN</t>
  </si>
  <si>
    <t>Peds NF</t>
  </si>
  <si>
    <t>Peds Ward</t>
  </si>
  <si>
    <t>NF</t>
  </si>
  <si>
    <t>FMIT2</t>
  </si>
  <si>
    <t>Sep 20 -26</t>
  </si>
  <si>
    <t>Dec 15-21</t>
  </si>
  <si>
    <t>Feb 9 - 15</t>
  </si>
  <si>
    <t>April 6-12</t>
  </si>
  <si>
    <t>DCC/BOLC/FMO</t>
  </si>
  <si>
    <t>Elective</t>
  </si>
  <si>
    <t>TAMC L and D</t>
  </si>
  <si>
    <t>FMIT2(R2 Role)</t>
  </si>
  <si>
    <t>Oct 27 - Nov 2</t>
  </si>
  <si>
    <t>Nov 24-30</t>
  </si>
  <si>
    <t>Feb 12- 15</t>
  </si>
  <si>
    <t>Kapiolani L and D</t>
  </si>
  <si>
    <t>MSK-SEL</t>
  </si>
  <si>
    <t>August 18 -24</t>
  </si>
  <si>
    <t>Oct 23-28</t>
  </si>
  <si>
    <t>January 12- 18</t>
  </si>
  <si>
    <t>April 13 - 19</t>
  </si>
  <si>
    <t>TAMC L/D</t>
  </si>
  <si>
    <t>Sept 1-7</t>
  </si>
  <si>
    <t>Dec 29 - Jan 4</t>
  </si>
  <si>
    <t>June 4-7</t>
  </si>
  <si>
    <t>PROC</t>
  </si>
  <si>
    <t>Derm</t>
  </si>
  <si>
    <t>Sep 8 -12</t>
  </si>
  <si>
    <t>Nov 26-28</t>
  </si>
  <si>
    <t>Dec 22- 26</t>
  </si>
  <si>
    <t>7 Feb -10 Feb</t>
  </si>
  <si>
    <t xml:space="preserve">Mar </t>
  </si>
  <si>
    <t>Oct 5-11</t>
  </si>
  <si>
    <t>Dec 7 -13</t>
  </si>
  <si>
    <t>Feb 8 -11</t>
  </si>
  <si>
    <t>May 24-30</t>
  </si>
  <si>
    <t xml:space="preserve">PGY-2 rotations </t>
  </si>
  <si>
    <t>Aug 20-26</t>
  </si>
  <si>
    <t>SM</t>
  </si>
  <si>
    <t>Cardio</t>
  </si>
  <si>
    <t>Elective One</t>
  </si>
  <si>
    <t>FMC/FMIT Jan 1-Jan5</t>
  </si>
  <si>
    <t>Gyn Clinic</t>
  </si>
  <si>
    <t>Elective Two</t>
  </si>
  <si>
    <t>FMIT 2</t>
  </si>
  <si>
    <t>Peds Subspecialty</t>
  </si>
  <si>
    <t xml:space="preserve">L and D night Float </t>
  </si>
  <si>
    <t>EM</t>
  </si>
  <si>
    <t>Surg Experience</t>
  </si>
  <si>
    <t>Sep 20-23</t>
  </si>
  <si>
    <t>Jan 10 -14</t>
  </si>
  <si>
    <t>Jan 15-21</t>
  </si>
  <si>
    <t>APR 17, 24, May 1-5</t>
  </si>
  <si>
    <t>ELE (US)</t>
  </si>
  <si>
    <t>FMIT 1</t>
  </si>
  <si>
    <t>L and D night float</t>
  </si>
  <si>
    <t>Surger Exp/FMITDec 28-Dec 31</t>
  </si>
  <si>
    <t>ELE (Neuro?)</t>
  </si>
  <si>
    <t>July 5- 11</t>
  </si>
  <si>
    <t>Sep 15-19</t>
  </si>
  <si>
    <t>Nov 24-26???</t>
  </si>
  <si>
    <t>Mar 16,22,30??? Apr6???</t>
  </si>
  <si>
    <t>June 1-2</t>
  </si>
  <si>
    <t>J</t>
  </si>
  <si>
    <t>Elective One (Research)</t>
  </si>
  <si>
    <t>Gyn Clinic/FMIT Dec 18 - Dec 22</t>
  </si>
  <si>
    <t>L and D Night float</t>
  </si>
  <si>
    <t>Elective 2: US</t>
  </si>
  <si>
    <r>
      <rPr>
        <b/>
        <sz val="11"/>
        <color rgb="FF000000"/>
        <rFont val="Calibri"/>
        <family val="2"/>
      </rPr>
      <t xml:space="preserve">July </t>
    </r>
    <r>
      <rPr>
        <b/>
        <sz val="11"/>
        <color rgb="FFFFFFFF"/>
        <rFont val="Calibri"/>
        <family val="2"/>
      </rPr>
      <t>July 6-12</t>
    </r>
  </si>
  <si>
    <t>Sep 18-24</t>
  </si>
  <si>
    <t>Dec  26, 29, 30, 31</t>
  </si>
  <si>
    <t>Mar 20, 22, 23, 24</t>
  </si>
  <si>
    <t>May 29-June3</t>
  </si>
  <si>
    <t>NF Oct 23 - Oct 30</t>
  </si>
  <si>
    <t>Surg Exp</t>
  </si>
  <si>
    <t>Elec Neuro or pulm/FMIT Jan 6-Jan9</t>
  </si>
  <si>
    <t>Peds subspeciatly</t>
  </si>
  <si>
    <t>Elective (Op Japan?)</t>
  </si>
  <si>
    <t>July 1 -6</t>
  </si>
  <si>
    <t>Nov 3-5</t>
  </si>
  <si>
    <t>May 14-20</t>
  </si>
  <si>
    <t>JUN29-JUL8</t>
  </si>
  <si>
    <t>Peds subspecialty</t>
  </si>
  <si>
    <t>Eletive One</t>
  </si>
  <si>
    <t>SM/FMIT Dec23 - Dec27</t>
  </si>
  <si>
    <t>L and D Night Float</t>
  </si>
  <si>
    <t>July 31-Aug 6                Sep 5-8                       OCT 20-22</t>
  </si>
  <si>
    <t>Feb2-8</t>
  </si>
  <si>
    <t>June 24-30</t>
  </si>
  <si>
    <t>MSK SEL</t>
  </si>
  <si>
    <t>MSK Sel</t>
  </si>
  <si>
    <t>L and D night Float</t>
  </si>
  <si>
    <t>NF Oct 30 - Nov 6</t>
  </si>
  <si>
    <t>Elective Two/Jan 11 - Jan 14</t>
  </si>
  <si>
    <t>Cards</t>
  </si>
  <si>
    <t xml:space="preserve">July 9-13 </t>
  </si>
  <si>
    <t>Jan 4-10</t>
  </si>
  <si>
    <t>Feb 24-27</t>
  </si>
  <si>
    <t>March 27-29</t>
  </si>
  <si>
    <t>April 21-27</t>
  </si>
  <si>
    <t xml:space="preserve">PGY-3 Rotations </t>
  </si>
  <si>
    <t>Aug 29-sept 4</t>
  </si>
  <si>
    <t>NOV 1-4</t>
  </si>
  <si>
    <t xml:space="preserve">Nov 25-27 </t>
  </si>
  <si>
    <t>Dec 27 &amp; Jan 2-4</t>
  </si>
  <si>
    <t>APR 17, APR 18-May 1</t>
  </si>
  <si>
    <t>May 15, 16, 21, 22, 30</t>
  </si>
  <si>
    <t>Peds EM</t>
  </si>
  <si>
    <t>Clinic</t>
  </si>
  <si>
    <t>Japan</t>
  </si>
  <si>
    <t>Select Med</t>
  </si>
  <si>
    <t>Geriatrics</t>
  </si>
  <si>
    <t>NICU</t>
  </si>
  <si>
    <t>Military</t>
  </si>
  <si>
    <t>Hilo</t>
  </si>
  <si>
    <t>7/24-8/6</t>
  </si>
  <si>
    <t>Aug 1-7</t>
  </si>
  <si>
    <t>Nov 29-Dec7</t>
  </si>
  <si>
    <t>Feb2-7</t>
  </si>
  <si>
    <t>Feb 23-28</t>
  </si>
  <si>
    <t>April 27th-May3</t>
  </si>
  <si>
    <t>PSYCH</t>
  </si>
  <si>
    <t>Faculty Development (19 Oct-15 Nov)</t>
  </si>
  <si>
    <t>MS: Endo</t>
  </si>
  <si>
    <t>JUL 23-29</t>
  </si>
  <si>
    <t>Aug 20-24</t>
  </si>
  <si>
    <t>TDY13-16</t>
  </si>
  <si>
    <t>SEP 20-21</t>
  </si>
  <si>
    <t>OCT 9-12</t>
  </si>
  <si>
    <t>DEC13-16</t>
  </si>
  <si>
    <t>25NOV, 2,6,9DEC</t>
  </si>
  <si>
    <t>28FEB-3MAR, 24FEB, 7-11 MAR</t>
  </si>
  <si>
    <t>May 27-June 2</t>
  </si>
  <si>
    <t>Elective One (MIL)</t>
  </si>
  <si>
    <t>Select Med (Pallative)</t>
  </si>
  <si>
    <t>NF Sep 18 - 24</t>
  </si>
  <si>
    <t>Elect - Sports Med</t>
  </si>
  <si>
    <t>JUL  27 - 30</t>
  </si>
  <si>
    <t>JUL 31 - AUG 5</t>
  </si>
  <si>
    <t xml:space="preserve">SEPT 3 -9 </t>
  </si>
  <si>
    <t>Oct 2-8</t>
  </si>
  <si>
    <t>Nov 27-Dec 2</t>
  </si>
  <si>
    <t>JAN 20 - JAN 22</t>
  </si>
  <si>
    <t>APR 3 - 8</t>
  </si>
  <si>
    <t>Arpil 9 and April 18</t>
  </si>
  <si>
    <t>Elective (Rheum)</t>
  </si>
  <si>
    <t>L&amp;D Night float</t>
  </si>
  <si>
    <t>NF Sep 11 - 18</t>
  </si>
  <si>
    <t>Geriatric</t>
  </si>
  <si>
    <t>Select Med (Neuro)</t>
  </si>
  <si>
    <t>HILO</t>
  </si>
  <si>
    <t>Elect (Proc/US)</t>
  </si>
  <si>
    <t>DEC22-28</t>
  </si>
  <si>
    <t>JAN18-25</t>
  </si>
  <si>
    <t>Feb 28- March 3</t>
  </si>
  <si>
    <t>March 6-11</t>
  </si>
  <si>
    <t>MAY26-31</t>
  </si>
  <si>
    <t>Surg exp</t>
  </si>
  <si>
    <t>Elective - ID</t>
  </si>
  <si>
    <t>Select Med - GI</t>
  </si>
  <si>
    <t>Elective 1: NEURO</t>
  </si>
  <si>
    <t>Elective Two/CCC?</t>
  </si>
  <si>
    <t>October 5 - 11</t>
  </si>
  <si>
    <t>Dec 1-7</t>
  </si>
  <si>
    <t>April 2 - April 8</t>
  </si>
  <si>
    <t>Leave: Last week of the rotation</t>
  </si>
  <si>
    <t>FMIT</t>
  </si>
  <si>
    <t>2wk ELE</t>
  </si>
  <si>
    <t>ELEC</t>
  </si>
  <si>
    <t>ELE (SERE, ATLS Aug 7 - 8)</t>
  </si>
  <si>
    <t>ELE (Outprocessing)</t>
  </si>
  <si>
    <t>LV:Aug 1-5</t>
  </si>
  <si>
    <t>NICU/LND</t>
  </si>
  <si>
    <t>ELE (Proc/Pretending)</t>
  </si>
  <si>
    <t>LV:</t>
  </si>
  <si>
    <t>ELE (SM/Proc)</t>
  </si>
  <si>
    <t>LV: Jul 9-11</t>
  </si>
  <si>
    <t> </t>
  </si>
  <si>
    <t>Night Float</t>
  </si>
  <si>
    <t>R1</t>
  </si>
  <si>
    <t>R2</t>
  </si>
  <si>
    <t>R3</t>
  </si>
  <si>
    <t>18 Dec 2025 - 14 Jan</t>
  </si>
  <si>
    <t>15 Jan  - 11 Feb</t>
  </si>
  <si>
    <t>12 Feb - 11 Mar</t>
  </si>
  <si>
    <t xml:space="preserve">12 Mar - 8 April </t>
  </si>
  <si>
    <t xml:space="preserve">9 April - 6 May </t>
  </si>
  <si>
    <t xml:space="preserve">7 May - 3 June </t>
  </si>
  <si>
    <t xml:space="preserve">4 June - 30 June </t>
  </si>
  <si>
    <t>THURS</t>
  </si>
  <si>
    <t>FRI</t>
  </si>
  <si>
    <t>SAT</t>
  </si>
  <si>
    <t>SUN</t>
  </si>
  <si>
    <t>MON</t>
  </si>
  <si>
    <t>TUES</t>
  </si>
  <si>
    <t>WED</t>
  </si>
  <si>
    <t>THU</t>
  </si>
  <si>
    <t>Date:</t>
  </si>
  <si>
    <t>Staff Call</t>
  </si>
  <si>
    <t>Resident Call</t>
  </si>
  <si>
    <t>W</t>
  </si>
  <si>
    <t>TEMPLATE</t>
  </si>
  <si>
    <t>ROLE</t>
  </si>
  <si>
    <t>PROVIDER</t>
  </si>
  <si>
    <t>PGY 3</t>
  </si>
  <si>
    <t>FED</t>
  </si>
  <si>
    <t>HOL</t>
  </si>
  <si>
    <t>LEC</t>
  </si>
  <si>
    <t>GME</t>
  </si>
  <si>
    <t>C</t>
  </si>
  <si>
    <t>LV</t>
  </si>
  <si>
    <t>PGY 2</t>
  </si>
  <si>
    <t>PGY 1</t>
  </si>
  <si>
    <t>PC</t>
  </si>
  <si>
    <t>AT</t>
  </si>
  <si>
    <t>ADM</t>
  </si>
  <si>
    <t>CALL</t>
  </si>
  <si>
    <t>C19</t>
  </si>
  <si>
    <t>FAC</t>
  </si>
  <si>
    <t>HC</t>
  </si>
  <si>
    <t>PCAT</t>
  </si>
  <si>
    <t>DO</t>
  </si>
  <si>
    <t>CP</t>
  </si>
  <si>
    <t>TY</t>
  </si>
  <si>
    <t>FLT 1</t>
  </si>
  <si>
    <t>aSM</t>
  </si>
  <si>
    <t>PI</t>
  </si>
  <si>
    <t>FLT 2</t>
  </si>
  <si>
    <t>FLT 3</t>
  </si>
  <si>
    <t>SIM</t>
  </si>
  <si>
    <t>KBAY</t>
  </si>
  <si>
    <t>RAD</t>
  </si>
  <si>
    <t>CAST</t>
  </si>
  <si>
    <t>PT</t>
  </si>
  <si>
    <t>OT</t>
  </si>
  <si>
    <t>MAKA</t>
  </si>
  <si>
    <t>USU</t>
  </si>
  <si>
    <t>MS3</t>
  </si>
  <si>
    <t>IPAP</t>
  </si>
  <si>
    <t>OFF</t>
  </si>
  <si>
    <t>MS</t>
  </si>
  <si>
    <t>STUDY</t>
  </si>
  <si>
    <t>BHC</t>
  </si>
  <si>
    <t>Appointments:</t>
  </si>
  <si>
    <t>For 5 FTEs</t>
  </si>
  <si>
    <t>Screeners Needed</t>
  </si>
  <si>
    <t>Appts/week</t>
  </si>
  <si>
    <t>Providers Virtual (CV)</t>
  </si>
  <si>
    <t>Appts/rotation</t>
  </si>
  <si>
    <t>Interns in Clinic</t>
  </si>
  <si>
    <t>Appts/day</t>
  </si>
  <si>
    <t>Residents in Clinic:</t>
  </si>
  <si>
    <t>Days in rot 12 - INPUT MANUALLY</t>
  </si>
  <si>
    <t>Attendings Needed Clinic</t>
  </si>
  <si>
    <t>Calculated appts/rotation 12 using templates</t>
  </si>
  <si>
    <t>Residents in PROC</t>
  </si>
  <si>
    <t>Actual appts/rotation 12</t>
  </si>
  <si>
    <t>Residents in V clinic</t>
  </si>
  <si>
    <t># deviation from templates - INPUT MANUALLY</t>
  </si>
  <si>
    <t>Residents on HV</t>
  </si>
  <si>
    <t>Actual # appts (templates +/- deviations)</t>
  </si>
  <si>
    <t>Total Attendings Needed</t>
  </si>
  <si>
    <t>%/needed</t>
  </si>
  <si>
    <t># Attendings Assigned</t>
  </si>
  <si>
    <t>Actual FTEs provided</t>
  </si>
  <si>
    <t># Primary Care Appts</t>
  </si>
  <si>
    <t>CV</t>
  </si>
  <si>
    <t>PR</t>
  </si>
  <si>
    <t>TDY</t>
  </si>
  <si>
    <t>C30</t>
  </si>
  <si>
    <t>ADHD</t>
  </si>
  <si>
    <t>PSY</t>
  </si>
  <si>
    <t>MultiD</t>
  </si>
  <si>
    <t>C-I</t>
  </si>
  <si>
    <t>CLC</t>
  </si>
  <si>
    <t>VasC</t>
  </si>
  <si>
    <t>Coding</t>
  </si>
  <si>
    <t>FLX</t>
  </si>
  <si>
    <t>VAS</t>
  </si>
  <si>
    <t>RSH</t>
  </si>
  <si>
    <t>ER</t>
  </si>
  <si>
    <t>PedSP</t>
  </si>
  <si>
    <t>Rad</t>
  </si>
  <si>
    <t>C60</t>
  </si>
  <si>
    <t>Cast</t>
  </si>
  <si>
    <t>IMW</t>
  </si>
  <si>
    <t>C40</t>
  </si>
  <si>
    <t>V1</t>
  </si>
  <si>
    <t>Orient</t>
  </si>
  <si>
    <t>Card</t>
  </si>
  <si>
    <t>HV</t>
  </si>
  <si>
    <t>V3</t>
  </si>
  <si>
    <t>MED</t>
  </si>
  <si>
    <t>VA</t>
  </si>
  <si>
    <t>GAC</t>
  </si>
  <si>
    <t>V2</t>
  </si>
  <si>
    <t>Peds-SPC*6/09</t>
  </si>
  <si>
    <t>L&amp;D</t>
  </si>
  <si>
    <t>GER</t>
  </si>
  <si>
    <t>Elec</t>
  </si>
  <si>
    <t>URO</t>
  </si>
  <si>
    <t>ENT</t>
  </si>
  <si>
    <t>Ophtho</t>
  </si>
  <si>
    <t>PedC</t>
  </si>
  <si>
    <t>BRP</t>
  </si>
  <si>
    <t>CC</t>
  </si>
  <si>
    <t>GYN</t>
  </si>
  <si>
    <t>Uro</t>
  </si>
  <si>
    <t>Optho</t>
  </si>
  <si>
    <t>EPIC</t>
  </si>
  <si>
    <t>STRAUB</t>
  </si>
  <si>
    <t>D</t>
  </si>
  <si>
    <t>KINKENNON</t>
  </si>
  <si>
    <t>CHU</t>
  </si>
  <si>
    <t>MCGUIRE</t>
  </si>
  <si>
    <t>BEVIS</t>
  </si>
  <si>
    <t>MONTGOMERY</t>
  </si>
  <si>
    <t>LABOUNTY</t>
  </si>
  <si>
    <t>DAHL</t>
  </si>
  <si>
    <t>TAGAWA</t>
  </si>
  <si>
    <t>MCRAE</t>
  </si>
  <si>
    <t>COLGAN</t>
  </si>
  <si>
    <t>PC/OFF</t>
  </si>
  <si>
    <t>KAP</t>
  </si>
  <si>
    <t>DFM</t>
  </si>
  <si>
    <t>SPEC</t>
  </si>
  <si>
    <t>(C+CV)</t>
  </si>
  <si>
    <t>DM</t>
  </si>
  <si>
    <t>ADJ</t>
  </si>
  <si>
    <t>%CVf</t>
  </si>
  <si>
    <t>%CVc</t>
  </si>
  <si>
    <t>12Feb-11Mar</t>
  </si>
  <si>
    <t>Peds Retreat Coverage</t>
  </si>
  <si>
    <t>NO MR - THANK A RESIDENT DAY</t>
  </si>
  <si>
    <t>USAFP</t>
  </si>
  <si>
    <t>WICS</t>
  </si>
  <si>
    <t>MUC</t>
  </si>
  <si>
    <t xml:space="preserve">the </t>
  </si>
  <si>
    <t>FMC Elective</t>
  </si>
  <si>
    <t>C4</t>
  </si>
  <si>
    <t>Research</t>
  </si>
  <si>
    <t>PedW</t>
  </si>
  <si>
    <t>HAFP</t>
  </si>
  <si>
    <t>DEP</t>
  </si>
  <si>
    <t>BRPA</t>
  </si>
  <si>
    <t>As of 10 Apr 23</t>
  </si>
  <si>
    <t>Th</t>
  </si>
  <si>
    <t>Fr</t>
  </si>
  <si>
    <t>Sa</t>
  </si>
  <si>
    <t>Su</t>
  </si>
  <si>
    <t>M</t>
  </si>
  <si>
    <t>Tu</t>
  </si>
  <si>
    <t>Wed</t>
  </si>
  <si>
    <t># clinics</t>
  </si>
  <si>
    <t>am</t>
  </si>
  <si>
    <t>pm</t>
  </si>
  <si>
    <t>PGY 3 Rotations</t>
  </si>
  <si>
    <r>
      <t xml:space="preserve">Geriatrics </t>
    </r>
    <r>
      <rPr>
        <sz val="14"/>
        <color rgb="FFFF0000"/>
        <rFont val="Arial"/>
        <family val="2"/>
      </rPr>
      <t>7/20</t>
    </r>
  </si>
  <si>
    <r>
      <t xml:space="preserve">FMC </t>
    </r>
    <r>
      <rPr>
        <sz val="14"/>
        <color rgb="FFFF0000"/>
        <rFont val="Arial"/>
        <family val="2"/>
      </rPr>
      <t>4/21</t>
    </r>
  </si>
  <si>
    <r>
      <t xml:space="preserve">CLC </t>
    </r>
    <r>
      <rPr>
        <sz val="14"/>
        <color rgb="FFFF0000"/>
        <rFont val="Arial"/>
        <family val="2"/>
      </rPr>
      <t>7/20</t>
    </r>
  </si>
  <si>
    <t>FMIT PGY-3</t>
  </si>
  <si>
    <t>Med Select</t>
  </si>
  <si>
    <r>
      <t xml:space="preserve">Night Float </t>
    </r>
    <r>
      <rPr>
        <sz val="14"/>
        <color rgb="FFFF0000"/>
        <rFont val="Arial"/>
        <family val="2"/>
      </rPr>
      <t>*</t>
    </r>
    <r>
      <rPr>
        <sz val="14"/>
        <rFont val="Arial"/>
        <family val="2"/>
      </rPr>
      <t xml:space="preserve"> / Cards </t>
    </r>
    <r>
      <rPr>
        <sz val="14"/>
        <color rgb="FFFF0000"/>
        <rFont val="Arial"/>
        <family val="2"/>
      </rPr>
      <t>7/26</t>
    </r>
  </si>
  <si>
    <r>
      <t xml:space="preserve">NICU/NF </t>
    </r>
    <r>
      <rPr>
        <sz val="14"/>
        <color rgb="FFFF0000"/>
        <rFont val="Arial"/>
        <family val="2"/>
      </rPr>
      <t>7/26</t>
    </r>
  </si>
  <si>
    <r>
      <t>Peds ER</t>
    </r>
    <r>
      <rPr>
        <sz val="14"/>
        <color rgb="FFFF0000"/>
        <rFont val="Arial"/>
        <family val="2"/>
      </rPr>
      <t xml:space="preserve"> 7/20</t>
    </r>
  </si>
  <si>
    <t>P ER</t>
  </si>
  <si>
    <r>
      <t xml:space="preserve">Peds ER </t>
    </r>
    <r>
      <rPr>
        <sz val="14"/>
        <color rgb="FFFF0000"/>
        <rFont val="Arial"/>
        <family val="2"/>
      </rPr>
      <t>7/20</t>
    </r>
  </si>
  <si>
    <t>ICU (Hilo)</t>
  </si>
  <si>
    <r>
      <t>Psychiatry</t>
    </r>
    <r>
      <rPr>
        <sz val="14"/>
        <color rgb="FFFF0000"/>
        <rFont val="Arial"/>
        <family val="2"/>
      </rPr>
      <t>*9/24</t>
    </r>
  </si>
  <si>
    <t>Derm (2 weeks)</t>
  </si>
  <si>
    <t>Okinawa, Japan</t>
  </si>
  <si>
    <t>PGY 2 Rotations</t>
  </si>
  <si>
    <r>
      <t xml:space="preserve">Cardiology </t>
    </r>
    <r>
      <rPr>
        <sz val="14"/>
        <color rgb="FFFF0000"/>
        <rFont val="Arial"/>
        <family val="2"/>
      </rPr>
      <t>08/22</t>
    </r>
  </si>
  <si>
    <r>
      <t xml:space="preserve">CM/PM &amp; RSH </t>
    </r>
    <r>
      <rPr>
        <sz val="14"/>
        <color rgb="FFFF0000"/>
        <rFont val="Arial"/>
        <family val="2"/>
      </rPr>
      <t>4/21</t>
    </r>
  </si>
  <si>
    <t>PM</t>
  </si>
  <si>
    <t>Cardiology 2/10</t>
  </si>
  <si>
    <r>
      <t xml:space="preserve">Emergency Room R2 </t>
    </r>
    <r>
      <rPr>
        <sz val="14"/>
        <color rgb="FFFF0000"/>
        <rFont val="Arial"/>
        <family val="2"/>
      </rPr>
      <t>7/20</t>
    </r>
  </si>
  <si>
    <t>CM/PM 7/20</t>
  </si>
  <si>
    <r>
      <t>FMC*</t>
    </r>
    <r>
      <rPr>
        <sz val="14"/>
        <color rgb="FFFF0000"/>
        <rFont val="Arial"/>
        <family val="2"/>
      </rPr>
      <t>10/18</t>
    </r>
  </si>
  <si>
    <r>
      <t>FMIT 2A</t>
    </r>
    <r>
      <rPr>
        <sz val="14"/>
        <color rgb="FFFF0000"/>
        <rFont val="Arial"/>
        <family val="2"/>
      </rPr>
      <t>*12/15</t>
    </r>
  </si>
  <si>
    <r>
      <t>FMC*</t>
    </r>
    <r>
      <rPr>
        <sz val="14"/>
        <color rgb="FFFF0000"/>
        <rFont val="Arial"/>
        <family val="2"/>
      </rPr>
      <t>12/12</t>
    </r>
  </si>
  <si>
    <r>
      <t>GYN</t>
    </r>
    <r>
      <rPr>
        <sz val="14"/>
        <color rgb="FFFF0000"/>
        <rFont val="Arial"/>
        <family val="2"/>
      </rPr>
      <t>*3/21</t>
    </r>
  </si>
  <si>
    <r>
      <t>FMIT 2A</t>
    </r>
    <r>
      <rPr>
        <sz val="14"/>
        <color rgb="FFFF0000"/>
        <rFont val="Arial"/>
        <family val="2"/>
      </rPr>
      <t>*4/08</t>
    </r>
  </si>
  <si>
    <r>
      <t>L&amp;D Pit-Boss Nights</t>
    </r>
    <r>
      <rPr>
        <sz val="14"/>
        <color rgb="FFFF0000"/>
        <rFont val="Arial"/>
        <family val="2"/>
      </rPr>
      <t>*06/16</t>
    </r>
  </si>
  <si>
    <r>
      <t>GYN</t>
    </r>
    <r>
      <rPr>
        <sz val="14"/>
        <color rgb="FFFF0000"/>
        <rFont val="Arial"/>
        <family val="2"/>
      </rPr>
      <t>*23jun</t>
    </r>
  </si>
  <si>
    <r>
      <t>Peds-SPC*</t>
    </r>
    <r>
      <rPr>
        <sz val="14"/>
        <color rgb="FFFF0000"/>
        <rFont val="Arial"/>
        <family val="2"/>
      </rPr>
      <t>4/21</t>
    </r>
  </si>
  <si>
    <r>
      <t xml:space="preserve">Procedures </t>
    </r>
    <r>
      <rPr>
        <sz val="14"/>
        <color rgb="FFFF0000"/>
        <rFont val="Arial"/>
        <family val="2"/>
      </rPr>
      <t>4/21</t>
    </r>
  </si>
  <si>
    <r>
      <t xml:space="preserve">Sports Medicine R2 </t>
    </r>
    <r>
      <rPr>
        <sz val="14"/>
        <color rgb="FFFF0000"/>
        <rFont val="Arial"/>
        <family val="2"/>
      </rPr>
      <t>4/21</t>
    </r>
  </si>
  <si>
    <r>
      <t xml:space="preserve">Night Float </t>
    </r>
    <r>
      <rPr>
        <sz val="14"/>
        <color rgb="FFFF0000"/>
        <rFont val="Arial"/>
        <family val="2"/>
      </rPr>
      <t>*</t>
    </r>
  </si>
  <si>
    <r>
      <t xml:space="preserve">Surg Exp </t>
    </r>
    <r>
      <rPr>
        <sz val="14"/>
        <color rgb="FFFF0000"/>
        <rFont val="Arial"/>
        <family val="2"/>
      </rPr>
      <t>7/24</t>
    </r>
  </si>
  <si>
    <r>
      <t xml:space="preserve">NF/NICU </t>
    </r>
    <r>
      <rPr>
        <sz val="14"/>
        <color rgb="FFFF0000"/>
        <rFont val="Arial"/>
        <family val="2"/>
      </rPr>
      <t>7/24</t>
    </r>
  </si>
  <si>
    <r>
      <t xml:space="preserve">SURG/NF </t>
    </r>
    <r>
      <rPr>
        <sz val="14"/>
        <color rgb="FFFF0000"/>
        <rFont val="Arial"/>
        <family val="2"/>
      </rPr>
      <t>7/24</t>
    </r>
  </si>
  <si>
    <r>
      <t xml:space="preserve">Sports Medicine R2 </t>
    </r>
    <r>
      <rPr>
        <sz val="14"/>
        <color rgb="FFFF0000"/>
        <rFont val="Arial"/>
        <family val="2"/>
      </rPr>
      <t>6/13</t>
    </r>
  </si>
  <si>
    <r>
      <t>PGY 1 Rotations</t>
    </r>
    <r>
      <rPr>
        <b/>
        <sz val="16"/>
        <color rgb="FFFF0000"/>
        <rFont val="Arial"/>
        <family val="2"/>
      </rPr>
      <t>*</t>
    </r>
  </si>
  <si>
    <r>
      <t>PGY 1 Rotations</t>
    </r>
    <r>
      <rPr>
        <b/>
        <sz val="14"/>
        <color rgb="FFFF0000"/>
        <rFont val="Arial"/>
        <family val="2"/>
      </rPr>
      <t>*</t>
    </r>
  </si>
  <si>
    <t>Emergency Room</t>
  </si>
  <si>
    <r>
      <t xml:space="preserve">FMC for Block 1-6 </t>
    </r>
    <r>
      <rPr>
        <sz val="12"/>
        <rFont val="Arial"/>
        <family val="2"/>
      </rPr>
      <t>(ver Aug23)</t>
    </r>
  </si>
  <si>
    <t>C40/OMT</t>
  </si>
  <si>
    <r>
      <t xml:space="preserve">FMC for Block 7-13 </t>
    </r>
    <r>
      <rPr>
        <sz val="12"/>
        <rFont val="Arial"/>
        <family val="2"/>
      </rPr>
      <t>(ver Aug23)</t>
    </r>
  </si>
  <si>
    <t>C/OMT</t>
  </si>
  <si>
    <t>FMIT NF</t>
  </si>
  <si>
    <t>NF FMIT</t>
  </si>
  <si>
    <t>FM Orientation</t>
  </si>
  <si>
    <t>ICU 1/20</t>
  </si>
  <si>
    <t>KAP L&amp;D</t>
  </si>
  <si>
    <t>ICU 6/11</t>
  </si>
  <si>
    <r>
      <t xml:space="preserve">L&amp;D 1  </t>
    </r>
    <r>
      <rPr>
        <sz val="14"/>
        <color rgb="FFFF0000"/>
        <rFont val="Arial"/>
        <family val="2"/>
      </rPr>
      <t>7/16</t>
    </r>
  </si>
  <si>
    <t>Medicine Ward</t>
  </si>
  <si>
    <r>
      <t xml:space="preserve">L&amp;D 1   </t>
    </r>
    <r>
      <rPr>
        <sz val="14"/>
        <color rgb="FFFF0000"/>
        <rFont val="Arial"/>
        <family val="2"/>
      </rPr>
      <t>7/16</t>
    </r>
  </si>
  <si>
    <t>MSK Select</t>
  </si>
  <si>
    <t>Rad/SM</t>
  </si>
  <si>
    <t>Cast/SM</t>
  </si>
  <si>
    <r>
      <t xml:space="preserve">Newborn Nursery </t>
    </r>
    <r>
      <rPr>
        <sz val="14"/>
        <color rgb="FFFF0000"/>
        <rFont val="Arial"/>
        <family val="2"/>
      </rPr>
      <t>8/12</t>
    </r>
  </si>
  <si>
    <t>Peds Clinic (PedC)</t>
  </si>
  <si>
    <r>
      <t>Newborn Nursery</t>
    </r>
    <r>
      <rPr>
        <sz val="14"/>
        <color rgb="FFFF0000"/>
        <rFont val="Arial"/>
        <family val="2"/>
      </rPr>
      <t xml:space="preserve"> 8/12</t>
    </r>
  </si>
  <si>
    <t>Peds Ward (PedW) - Day schedule</t>
  </si>
  <si>
    <t>Peds Ward (PedW) - Night Schedule</t>
  </si>
  <si>
    <t>General Surgery Ward</t>
  </si>
  <si>
    <t>GSW</t>
  </si>
  <si>
    <r>
      <t>OB Intern</t>
    </r>
    <r>
      <rPr>
        <sz val="14"/>
        <color rgb="FFFF0000"/>
        <rFont val="Arial"/>
        <family val="2"/>
      </rPr>
      <t>*</t>
    </r>
  </si>
  <si>
    <t>CWA</t>
  </si>
  <si>
    <t>OB</t>
  </si>
  <si>
    <t>OB Cl</t>
  </si>
  <si>
    <r>
      <t>Transitional</t>
    </r>
    <r>
      <rPr>
        <sz val="14"/>
        <color rgb="FFFF0000"/>
        <rFont val="Arial"/>
        <family val="2"/>
      </rPr>
      <t>*</t>
    </r>
  </si>
  <si>
    <t>SM Rotator (use R2 or R3 template)</t>
  </si>
  <si>
    <t>SM Rotators</t>
  </si>
  <si>
    <t>Elective Opportunity Examples</t>
  </si>
  <si>
    <r>
      <t>Radiology</t>
    </r>
    <r>
      <rPr>
        <sz val="14"/>
        <color rgb="FFFF0000"/>
        <rFont val="Arial"/>
        <family val="2"/>
      </rPr>
      <t>*</t>
    </r>
  </si>
  <si>
    <r>
      <t>Research</t>
    </r>
    <r>
      <rPr>
        <sz val="14"/>
        <color rgb="FFFF0000"/>
        <rFont val="Arial"/>
        <family val="2"/>
      </rPr>
      <t>*</t>
    </r>
  </si>
  <si>
    <r>
      <t xml:space="preserve">Pain Management  </t>
    </r>
    <r>
      <rPr>
        <sz val="14"/>
        <color rgb="FFFF0000"/>
        <rFont val="Arial"/>
        <family val="2"/>
      </rPr>
      <t>02/15</t>
    </r>
  </si>
  <si>
    <t>PN M</t>
  </si>
  <si>
    <t>PNM</t>
  </si>
  <si>
    <t>Adolescent</t>
  </si>
  <si>
    <t>Adol</t>
  </si>
  <si>
    <t>Ch psy</t>
  </si>
  <si>
    <t>Pain Management</t>
  </si>
  <si>
    <t>Ultrasound Elective</t>
  </si>
  <si>
    <t>FM US</t>
  </si>
  <si>
    <t>Elective, Generic 1</t>
  </si>
  <si>
    <t>Elective, Generic 2</t>
  </si>
  <si>
    <t>Endocrine (2 weeks)</t>
  </si>
  <si>
    <t>Endo</t>
  </si>
  <si>
    <r>
      <t>General Surgery Clinic</t>
    </r>
    <r>
      <rPr>
        <sz val="14"/>
        <color rgb="FFFF0000"/>
        <rFont val="Arial"/>
        <family val="2"/>
      </rPr>
      <t>*5/12</t>
    </r>
  </si>
  <si>
    <t>GSC</t>
  </si>
  <si>
    <t>Trauma</t>
  </si>
  <si>
    <t>Minors</t>
  </si>
  <si>
    <t>Vsurg</t>
  </si>
  <si>
    <t>Wound</t>
  </si>
  <si>
    <t>ARCHIVED ROTATIONS</t>
  </si>
  <si>
    <t>NF/Ped ER*12/09</t>
  </si>
  <si>
    <t>Ped ER</t>
  </si>
  <si>
    <t>Brd Rvw</t>
  </si>
  <si>
    <t>Ped ER/NF*12/09</t>
  </si>
  <si>
    <t>PedsER</t>
  </si>
  <si>
    <t>NF/ER*12/09</t>
  </si>
  <si>
    <t>Sports/Ortho R3 3/11 DO</t>
  </si>
  <si>
    <t>OMT</t>
  </si>
  <si>
    <t>SMART</t>
  </si>
  <si>
    <t>ER/NF*12/09</t>
  </si>
  <si>
    <t>Sports/Ortho R3 3/11 MD</t>
  </si>
  <si>
    <r>
      <t>L&amp;D CP</t>
    </r>
    <r>
      <rPr>
        <sz val="14"/>
        <color rgb="FFFF0000"/>
        <rFont val="Arial"/>
        <family val="2"/>
      </rPr>
      <t>*04/10</t>
    </r>
  </si>
  <si>
    <r>
      <t xml:space="preserve">OB Clinic </t>
    </r>
    <r>
      <rPr>
        <sz val="14"/>
        <color rgb="FFFF0000"/>
        <rFont val="Arial"/>
        <family val="2"/>
      </rPr>
      <t>4/12</t>
    </r>
  </si>
  <si>
    <t>OB CL</t>
  </si>
  <si>
    <t>GER/C</t>
  </si>
  <si>
    <r>
      <t>L&amp;D Pit-Boss Nights</t>
    </r>
    <r>
      <rPr>
        <sz val="14"/>
        <color rgb="FFFF0000"/>
        <rFont val="Arial"/>
        <family val="2"/>
      </rPr>
      <t>*04/12</t>
    </r>
  </si>
  <si>
    <t xml:space="preserve">Sports/Ortho R2 3/11 </t>
  </si>
  <si>
    <t>KSM</t>
  </si>
  <si>
    <r>
      <t>L&amp;D NF CO-Pit Boss</t>
    </r>
    <r>
      <rPr>
        <sz val="14"/>
        <color rgb="FFFF0000"/>
        <rFont val="Arial"/>
        <family val="2"/>
      </rPr>
      <t>*4/12</t>
    </r>
  </si>
  <si>
    <t>Sports/Ortho 3/11</t>
  </si>
  <si>
    <r>
      <t>L&amp;D NF Co-Pitt Boss</t>
    </r>
    <r>
      <rPr>
        <sz val="14"/>
        <color rgb="FFFF0000"/>
        <rFont val="Arial"/>
        <family val="2"/>
      </rPr>
      <t>*4/12</t>
    </r>
  </si>
  <si>
    <r>
      <t xml:space="preserve">Cardiology </t>
    </r>
    <r>
      <rPr>
        <sz val="14"/>
        <color rgb="FFFF0000"/>
        <rFont val="Arial"/>
        <family val="2"/>
      </rPr>
      <t>8/18</t>
    </r>
  </si>
  <si>
    <r>
      <t>Dermatology</t>
    </r>
    <r>
      <rPr>
        <sz val="14"/>
        <color rgb="FFFF0000"/>
        <rFont val="Arial"/>
        <family val="2"/>
      </rPr>
      <t>*</t>
    </r>
  </si>
  <si>
    <t>DERM</t>
  </si>
  <si>
    <t>V</t>
  </si>
  <si>
    <r>
      <t>GYN</t>
    </r>
    <r>
      <rPr>
        <sz val="14"/>
        <color rgb="FFFF0000"/>
        <rFont val="Arial"/>
        <family val="2"/>
      </rPr>
      <t>*2/16</t>
    </r>
  </si>
  <si>
    <t>COLPO</t>
  </si>
  <si>
    <r>
      <t xml:space="preserve">Urology/Colpo </t>
    </r>
    <r>
      <rPr>
        <sz val="14"/>
        <color rgb="FFFF0000"/>
        <rFont val="Arial"/>
        <family val="2"/>
      </rPr>
      <t>12/12</t>
    </r>
  </si>
  <si>
    <t>CR</t>
  </si>
  <si>
    <t>Urology(Kennon)/Colpo</t>
  </si>
  <si>
    <r>
      <t xml:space="preserve">Emergency Room R2 </t>
    </r>
    <r>
      <rPr>
        <sz val="14"/>
        <color rgb="FFFF0000"/>
        <rFont val="Arial"/>
        <family val="2"/>
      </rPr>
      <t>5/14</t>
    </r>
  </si>
  <si>
    <t>PI Proj</t>
  </si>
  <si>
    <r>
      <t>Peds ER</t>
    </r>
    <r>
      <rPr>
        <sz val="14"/>
        <color rgb="FFFF0000"/>
        <rFont val="Arial"/>
        <family val="2"/>
      </rPr>
      <t xml:space="preserve"> 5/14</t>
    </r>
  </si>
  <si>
    <r>
      <t xml:space="preserve">CLC </t>
    </r>
    <r>
      <rPr>
        <sz val="14"/>
        <color rgb="FFFF0000"/>
        <rFont val="Arial"/>
        <family val="2"/>
      </rPr>
      <t>5/15</t>
    </r>
  </si>
  <si>
    <r>
      <t>Peds ER</t>
    </r>
    <r>
      <rPr>
        <sz val="14"/>
        <color rgb="FFFF0000"/>
        <rFont val="Arial"/>
        <family val="2"/>
      </rPr>
      <t xml:space="preserve"> 5/13</t>
    </r>
  </si>
  <si>
    <r>
      <t xml:space="preserve">CM/PM </t>
    </r>
    <r>
      <rPr>
        <sz val="14"/>
        <color rgb="FFFF0000"/>
        <rFont val="Arial"/>
        <family val="2"/>
      </rPr>
      <t>4/10</t>
    </r>
  </si>
  <si>
    <r>
      <t xml:space="preserve">CLC </t>
    </r>
    <r>
      <rPr>
        <sz val="14"/>
        <color rgb="FFFF0000"/>
        <rFont val="Arial"/>
        <family val="2"/>
      </rPr>
      <t>5/12</t>
    </r>
  </si>
  <si>
    <r>
      <t xml:space="preserve">Procedures, </t>
    </r>
    <r>
      <rPr>
        <sz val="14"/>
        <color rgb="FFFF0000"/>
        <rFont val="Arial"/>
        <family val="2"/>
      </rPr>
      <t>02/15</t>
    </r>
  </si>
  <si>
    <t>GXT</t>
  </si>
  <si>
    <t>CM/PM</t>
  </si>
  <si>
    <r>
      <t>GYN</t>
    </r>
    <r>
      <rPr>
        <sz val="14"/>
        <color rgb="FFFF0000"/>
        <rFont val="Arial"/>
        <family val="2"/>
      </rPr>
      <t>*11/19</t>
    </r>
  </si>
  <si>
    <r>
      <t xml:space="preserve">Urology/Colpo </t>
    </r>
    <r>
      <rPr>
        <sz val="14"/>
        <color rgb="FFFF0000"/>
        <rFont val="Arial"/>
        <family val="2"/>
      </rPr>
      <t>10/19</t>
    </r>
  </si>
  <si>
    <r>
      <t>Dermatology*</t>
    </r>
    <r>
      <rPr>
        <sz val="14"/>
        <color rgb="FFFF0000"/>
        <rFont val="Arial"/>
        <family val="2"/>
      </rPr>
      <t>4/10</t>
    </r>
  </si>
  <si>
    <t>Dermatology</t>
  </si>
  <si>
    <r>
      <t xml:space="preserve">Sports Medicine R3 DO </t>
    </r>
    <r>
      <rPr>
        <sz val="14"/>
        <color rgb="FFFF0000"/>
        <rFont val="Arial"/>
        <family val="2"/>
      </rPr>
      <t>08/15</t>
    </r>
  </si>
  <si>
    <r>
      <t>Sports Medicine R3 MD</t>
    </r>
    <r>
      <rPr>
        <sz val="14"/>
        <color rgb="FFFF0000"/>
        <rFont val="Arial"/>
        <family val="2"/>
      </rPr>
      <t xml:space="preserve"> 08/15</t>
    </r>
  </si>
  <si>
    <r>
      <t xml:space="preserve">Sports Medicine R3 DO </t>
    </r>
    <r>
      <rPr>
        <sz val="14"/>
        <color rgb="FFFF0000"/>
        <rFont val="Arial"/>
        <family val="2"/>
      </rPr>
      <t>6/13</t>
    </r>
  </si>
  <si>
    <r>
      <t>Psychiatry</t>
    </r>
    <r>
      <rPr>
        <sz val="14"/>
        <color rgb="FFFF0000"/>
        <rFont val="Arial"/>
        <family val="2"/>
      </rPr>
      <t>*02/13/19</t>
    </r>
  </si>
  <si>
    <t>COUNS</t>
  </si>
  <si>
    <t>TBH</t>
  </si>
  <si>
    <r>
      <t xml:space="preserve">Sports Medicine R3 MD </t>
    </r>
    <r>
      <rPr>
        <sz val="14"/>
        <color rgb="FFFF0000"/>
        <rFont val="Arial"/>
        <family val="2"/>
      </rPr>
      <t>6/13</t>
    </r>
  </si>
  <si>
    <r>
      <t>General Surgery Clinic</t>
    </r>
    <r>
      <rPr>
        <sz val="14"/>
        <color rgb="FFFF0000"/>
        <rFont val="Arial"/>
        <family val="2"/>
      </rPr>
      <t>*4/08</t>
    </r>
  </si>
  <si>
    <t>SVasc</t>
  </si>
  <si>
    <r>
      <t>Psychiatry</t>
    </r>
    <r>
      <rPr>
        <sz val="14"/>
        <color rgb="FFFF0000"/>
        <rFont val="Arial"/>
        <family val="2"/>
      </rPr>
      <t>*11/16/09</t>
    </r>
  </si>
  <si>
    <r>
      <t>Psychiatry</t>
    </r>
    <r>
      <rPr>
        <sz val="14"/>
        <color rgb="FFFF0000"/>
        <rFont val="Arial"/>
        <family val="2"/>
      </rPr>
      <t>*4/21</t>
    </r>
  </si>
  <si>
    <t>Couns</t>
  </si>
  <si>
    <r>
      <t xml:space="preserve">Cardiology </t>
    </r>
    <r>
      <rPr>
        <sz val="14"/>
        <color rgb="FFFF0000"/>
        <rFont val="Arial"/>
        <family val="2"/>
      </rPr>
      <t>10/19</t>
    </r>
  </si>
  <si>
    <r>
      <t xml:space="preserve">Ophth/ENT </t>
    </r>
    <r>
      <rPr>
        <sz val="14"/>
        <color rgb="FFFF0000"/>
        <rFont val="Arial"/>
        <family val="2"/>
      </rPr>
      <t>9/12</t>
    </r>
  </si>
  <si>
    <t>OPH</t>
  </si>
  <si>
    <t>Dental</t>
  </si>
  <si>
    <r>
      <t xml:space="preserve">Sports Medicine R3 </t>
    </r>
    <r>
      <rPr>
        <sz val="14"/>
        <color rgb="FFFF0000"/>
        <rFont val="Arial"/>
        <family val="2"/>
      </rPr>
      <t>4/21</t>
    </r>
  </si>
  <si>
    <r>
      <t>Psychiatry</t>
    </r>
    <r>
      <rPr>
        <sz val="14"/>
        <color rgb="FFFF0000"/>
        <rFont val="Arial"/>
        <family val="2"/>
      </rPr>
      <t>*5/22</t>
    </r>
  </si>
  <si>
    <r>
      <t xml:space="preserve">Urology/Derm </t>
    </r>
    <r>
      <rPr>
        <sz val="14"/>
        <color rgb="FFFF0000"/>
        <rFont val="Arial"/>
        <family val="2"/>
      </rPr>
      <t>4/21</t>
    </r>
  </si>
  <si>
    <t>Psych 2 week</t>
  </si>
  <si>
    <t>FMC*12/11 - for Block 8 -13</t>
  </si>
  <si>
    <t>DEV</t>
  </si>
  <si>
    <r>
      <t xml:space="preserve">Night Float </t>
    </r>
    <r>
      <rPr>
        <sz val="14"/>
        <color rgb="FFFF0000"/>
        <rFont val="Arial"/>
        <family val="2"/>
      </rPr>
      <t>*2/16</t>
    </r>
  </si>
  <si>
    <t>Resident A</t>
  </si>
  <si>
    <t>Resident B</t>
  </si>
  <si>
    <t>Resident C</t>
  </si>
  <si>
    <t>Resident D</t>
  </si>
  <si>
    <t>Resident E</t>
  </si>
  <si>
    <t>Resident  F</t>
  </si>
  <si>
    <t>Resident G</t>
  </si>
  <si>
    <t>Resident H</t>
  </si>
  <si>
    <t>Resident I</t>
  </si>
  <si>
    <t>Resident J</t>
  </si>
  <si>
    <t>Resident K</t>
  </si>
  <si>
    <t>Resident L</t>
  </si>
  <si>
    <t>Resident M</t>
  </si>
  <si>
    <t>Resident N</t>
  </si>
  <si>
    <t>Resident O</t>
  </si>
  <si>
    <t>Resident P</t>
  </si>
  <si>
    <t>Resident Q</t>
  </si>
  <si>
    <t>Resident R</t>
  </si>
  <si>
    <t>Resident S</t>
  </si>
  <si>
    <t>Resident T</t>
  </si>
  <si>
    <t>Resident U</t>
  </si>
  <si>
    <t>Resident V</t>
  </si>
  <si>
    <t>E</t>
  </si>
  <si>
    <t>F</t>
  </si>
  <si>
    <t>G</t>
  </si>
  <si>
    <t>H</t>
  </si>
  <si>
    <t>I</t>
  </si>
  <si>
    <t>K</t>
  </si>
  <si>
    <t>L</t>
  </si>
  <si>
    <t>N</t>
  </si>
  <si>
    <t>O</t>
  </si>
  <si>
    <t>P</t>
  </si>
  <si>
    <t>Q</t>
  </si>
  <si>
    <t>Faculty A</t>
  </si>
  <si>
    <t>Faculty B</t>
  </si>
  <si>
    <t>Faculty C</t>
  </si>
  <si>
    <t>Faculty D</t>
  </si>
  <si>
    <t>Faculty E</t>
  </si>
  <si>
    <t>Clinical pharmacist A</t>
  </si>
  <si>
    <t>Clinical psychologist A</t>
  </si>
  <si>
    <t>R</t>
  </si>
  <si>
    <t>S</t>
  </si>
  <si>
    <t>T</t>
  </si>
  <si>
    <t>U</t>
  </si>
  <si>
    <t>X</t>
  </si>
  <si>
    <t>Y</t>
  </si>
  <si>
    <t>Z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</si>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</sst>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4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name val="Arial"/>
      <family val="2"/>
    </font>
    <font>
      <b/>
      <sz val="14"/>
      <color rgb="FFFFFFFF"/>
      <name val="Arial"/>
      <family val="2"/>
    </font>
    <font>
      <sz val="16"/>
      <color rgb="FF000000"/>
      <name val="Calibri"/>
      <family val="2"/>
    </font>
    <font>
      <sz val="14"/>
      <color rgb="FFFF0000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sz val="2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E8E8E8"/>
      <name val="Calibri"/>
      <family val="2"/>
    </font>
    <font>
      <b/>
      <sz val="11"/>
      <color theme="0"/>
      <name val="Calibri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F2F2F2"/>
      <name val="Calibri"/>
      <family val="2"/>
    </font>
    <font>
      <sz val="10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rgb="FF444444"/>
      <name val="Calibri"/>
      <family val="2"/>
      <charset val="1"/>
    </font>
    <font>
      <sz val="11"/>
      <color rgb="FFE7E6E6"/>
      <name val="Calibri"/>
      <family val="2"/>
    </font>
    <font>
      <b/>
      <sz val="11"/>
      <name val="Calibri"/>
      <family val="2"/>
      <charset val="1"/>
    </font>
    <font>
      <b/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b/>
      <sz val="16"/>
      <name val="Arial"/>
    </font>
    <font>
      <sz val="16"/>
      <color theme="1"/>
      <name val="Arial"/>
    </font>
    <font>
      <b/>
      <sz val="11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CBA9E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rgb="FFC6EFC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0000"/>
        <bgColor rgb="FFFFFF00"/>
      </patternFill>
    </fill>
    <fill>
      <patternFill patternType="solid">
        <fgColor rgb="FF0D0D0D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DBDBDB"/>
        <bgColor rgb="FFDBDBDB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2" fillId="3" borderId="2" xfId="0" applyFont="1" applyFill="1" applyBorder="1"/>
    <xf numFmtId="0" fontId="3" fillId="0" borderId="0" xfId="0" applyFont="1"/>
    <xf numFmtId="0" fontId="4" fillId="0" borderId="2" xfId="0" applyFont="1" applyBorder="1"/>
    <xf numFmtId="0" fontId="6" fillId="0" borderId="15" xfId="0" applyFont="1" applyBorder="1"/>
    <xf numFmtId="0" fontId="7" fillId="0" borderId="0" xfId="0" applyFont="1"/>
    <xf numFmtId="0" fontId="7" fillId="0" borderId="16" xfId="0" applyFont="1" applyBorder="1"/>
    <xf numFmtId="0" fontId="4" fillId="0" borderId="17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0" xfId="0" applyFont="1" applyFill="1"/>
    <xf numFmtId="0" fontId="8" fillId="3" borderId="0" xfId="0" applyFont="1" applyFill="1"/>
    <xf numFmtId="0" fontId="5" fillId="3" borderId="20" xfId="0" applyFont="1" applyFill="1" applyBorder="1"/>
    <xf numFmtId="0" fontId="5" fillId="3" borderId="17" xfId="0" applyFont="1" applyFill="1" applyBorder="1"/>
    <xf numFmtId="0" fontId="4" fillId="0" borderId="18" xfId="0" applyFont="1" applyBorder="1"/>
    <xf numFmtId="0" fontId="4" fillId="3" borderId="21" xfId="0" applyFont="1" applyFill="1" applyBorder="1"/>
    <xf numFmtId="0" fontId="4" fillId="3" borderId="22" xfId="0" applyFont="1" applyFill="1" applyBorder="1"/>
    <xf numFmtId="0" fontId="11" fillId="3" borderId="0" xfId="0" applyFont="1" applyFill="1"/>
    <xf numFmtId="0" fontId="11" fillId="3" borderId="23" xfId="0" applyFont="1" applyFill="1" applyBorder="1"/>
    <xf numFmtId="0" fontId="11" fillId="3" borderId="24" xfId="0" applyFont="1" applyFill="1" applyBorder="1"/>
    <xf numFmtId="0" fontId="4" fillId="3" borderId="25" xfId="0" applyFont="1" applyFill="1" applyBorder="1"/>
    <xf numFmtId="0" fontId="4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0" fontId="12" fillId="0" borderId="25" xfId="0" applyFont="1" applyBorder="1"/>
    <xf numFmtId="0" fontId="4" fillId="0" borderId="29" xfId="0" applyFont="1" applyBorder="1"/>
    <xf numFmtId="0" fontId="13" fillId="0" borderId="20" xfId="0" applyFont="1" applyBorder="1"/>
    <xf numFmtId="0" fontId="11" fillId="5" borderId="0" xfId="0" applyFont="1" applyFill="1"/>
    <xf numFmtId="0" fontId="8" fillId="0" borderId="30" xfId="0" applyFont="1" applyBorder="1"/>
    <xf numFmtId="0" fontId="4" fillId="0" borderId="20" xfId="0" applyFont="1" applyBorder="1"/>
    <xf numFmtId="0" fontId="11" fillId="2" borderId="0" xfId="0" applyFont="1" applyFill="1"/>
    <xf numFmtId="0" fontId="14" fillId="0" borderId="25" xfId="0" applyFont="1" applyBorder="1"/>
    <xf numFmtId="0" fontId="11" fillId="0" borderId="20" xfId="0" applyFont="1" applyBorder="1"/>
    <xf numFmtId="0" fontId="11" fillId="0" borderId="17" xfId="0" applyFont="1" applyBorder="1"/>
    <xf numFmtId="0" fontId="11" fillId="7" borderId="0" xfId="0" applyFont="1" applyFill="1"/>
    <xf numFmtId="0" fontId="11" fillId="8" borderId="0" xfId="0" applyFont="1" applyFill="1"/>
    <xf numFmtId="0" fontId="11" fillId="9" borderId="0" xfId="0" applyFont="1" applyFill="1"/>
    <xf numFmtId="0" fontId="11" fillId="10" borderId="0" xfId="0" applyFont="1" applyFill="1"/>
    <xf numFmtId="0" fontId="5" fillId="0" borderId="18" xfId="0" applyFont="1" applyBorder="1"/>
    <xf numFmtId="0" fontId="5" fillId="2" borderId="0" xfId="0" applyFont="1" applyFill="1"/>
    <xf numFmtId="0" fontId="15" fillId="3" borderId="18" xfId="0" applyFont="1" applyFill="1" applyBorder="1"/>
    <xf numFmtId="0" fontId="11" fillId="5" borderId="19" xfId="0" applyFont="1" applyFill="1" applyBorder="1"/>
    <xf numFmtId="0" fontId="11" fillId="5" borderId="8" xfId="0" applyFont="1" applyFill="1" applyBorder="1"/>
    <xf numFmtId="0" fontId="11" fillId="5" borderId="15" xfId="0" applyFont="1" applyFill="1" applyBorder="1"/>
    <xf numFmtId="0" fontId="16" fillId="0" borderId="0" xfId="0" applyFont="1"/>
    <xf numFmtId="0" fontId="11" fillId="0" borderId="31" xfId="0" applyFont="1" applyBorder="1"/>
    <xf numFmtId="0" fontId="4" fillId="11" borderId="20" xfId="0" applyFont="1" applyFill="1" applyBorder="1"/>
    <xf numFmtId="0" fontId="11" fillId="0" borderId="32" xfId="0" applyFont="1" applyBorder="1"/>
    <xf numFmtId="0" fontId="4" fillId="7" borderId="18" xfId="0" applyFont="1" applyFill="1" applyBorder="1"/>
    <xf numFmtId="0" fontId="11" fillId="0" borderId="33" xfId="0" applyFont="1" applyBorder="1"/>
    <xf numFmtId="0" fontId="4" fillId="2" borderId="20" xfId="0" applyFont="1" applyFill="1" applyBorder="1"/>
    <xf numFmtId="0" fontId="4" fillId="2" borderId="17" xfId="0" applyFont="1" applyFill="1" applyBorder="1"/>
    <xf numFmtId="0" fontId="8" fillId="13" borderId="0" xfId="0" applyFont="1" applyFill="1"/>
    <xf numFmtId="0" fontId="14" fillId="0" borderId="17" xfId="0" applyFont="1" applyBorder="1"/>
    <xf numFmtId="0" fontId="8" fillId="0" borderId="17" xfId="0" applyFont="1" applyBorder="1"/>
    <xf numFmtId="0" fontId="8" fillId="0" borderId="29" xfId="0" applyFont="1" applyBorder="1"/>
    <xf numFmtId="0" fontId="11" fillId="14" borderId="0" xfId="0" applyFont="1" applyFill="1"/>
    <xf numFmtId="0" fontId="11" fillId="6" borderId="0" xfId="0" applyFont="1" applyFill="1"/>
    <xf numFmtId="0" fontId="18" fillId="0" borderId="0" xfId="0" applyFont="1"/>
    <xf numFmtId="0" fontId="18" fillId="10" borderId="0" xfId="0" applyFont="1" applyFill="1"/>
    <xf numFmtId="0" fontId="4" fillId="10" borderId="0" xfId="0" applyFont="1" applyFill="1"/>
    <xf numFmtId="0" fontId="11" fillId="15" borderId="0" xfId="0" applyFont="1" applyFill="1"/>
    <xf numFmtId="0" fontId="11" fillId="16" borderId="0" xfId="0" applyFont="1" applyFill="1"/>
    <xf numFmtId="0" fontId="8" fillId="3" borderId="29" xfId="0" applyFont="1" applyFill="1" applyBorder="1"/>
    <xf numFmtId="0" fontId="8" fillId="15" borderId="30" xfId="0" applyFont="1" applyFill="1" applyBorder="1"/>
    <xf numFmtId="0" fontId="8" fillId="15" borderId="29" xfId="0" applyFont="1" applyFill="1" applyBorder="1"/>
    <xf numFmtId="0" fontId="19" fillId="17" borderId="0" xfId="0" applyFont="1" applyFill="1"/>
    <xf numFmtId="0" fontId="8" fillId="15" borderId="0" xfId="0" applyFont="1" applyFill="1"/>
    <xf numFmtId="0" fontId="4" fillId="0" borderId="19" xfId="0" applyFont="1" applyBorder="1"/>
    <xf numFmtId="0" fontId="14" fillId="0" borderId="15" xfId="0" applyFont="1" applyBorder="1"/>
    <xf numFmtId="0" fontId="8" fillId="2" borderId="29" xfId="0" applyFont="1" applyFill="1" applyBorder="1"/>
    <xf numFmtId="0" fontId="8" fillId="2" borderId="0" xfId="0" applyFont="1" applyFill="1"/>
    <xf numFmtId="0" fontId="8" fillId="2" borderId="30" xfId="0" applyFont="1" applyFill="1" applyBorder="1"/>
    <xf numFmtId="0" fontId="8" fillId="3" borderId="17" xfId="0" applyFont="1" applyFill="1" applyBorder="1"/>
    <xf numFmtId="0" fontId="14" fillId="0" borderId="0" xfId="0" applyFont="1"/>
    <xf numFmtId="0" fontId="8" fillId="3" borderId="30" xfId="0" applyFont="1" applyFill="1" applyBorder="1"/>
    <xf numFmtId="0" fontId="8" fillId="15" borderId="19" xfId="0" applyFont="1" applyFill="1" applyBorder="1"/>
    <xf numFmtId="0" fontId="22" fillId="11" borderId="20" xfId="0" applyFont="1" applyFill="1" applyBorder="1"/>
    <xf numFmtId="0" fontId="22" fillId="0" borderId="20" xfId="0" applyFont="1" applyBorder="1"/>
    <xf numFmtId="0" fontId="22" fillId="2" borderId="17" xfId="0" applyFont="1" applyFill="1" applyBorder="1"/>
    <xf numFmtId="0" fontId="4" fillId="0" borderId="25" xfId="0" applyFont="1" applyBorder="1"/>
    <xf numFmtId="0" fontId="13" fillId="0" borderId="25" xfId="0" applyFont="1" applyBorder="1"/>
    <xf numFmtId="0" fontId="23" fillId="0" borderId="0" xfId="0" applyFont="1"/>
    <xf numFmtId="0" fontId="4" fillId="0" borderId="0" xfId="0" applyFont="1"/>
    <xf numFmtId="0" fontId="13" fillId="0" borderId="0" xfId="0" applyFont="1"/>
    <xf numFmtId="0" fontId="24" fillId="21" borderId="0" xfId="0" applyFont="1" applyFill="1"/>
    <xf numFmtId="0" fontId="25" fillId="22" borderId="0" xfId="0" applyFont="1" applyFill="1"/>
    <xf numFmtId="0" fontId="26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3" borderId="0" xfId="0" applyFont="1" applyFill="1" applyAlignment="1">
      <alignment vertical="center"/>
    </xf>
    <xf numFmtId="0" fontId="29" fillId="3" borderId="0" xfId="0" applyFont="1" applyFill="1" applyAlignment="1">
      <alignment horizontal="center" vertical="center"/>
    </xf>
    <xf numFmtId="0" fontId="31" fillId="0" borderId="0" xfId="0" applyFont="1"/>
    <xf numFmtId="0" fontId="32" fillId="6" borderId="0" xfId="0" applyFont="1" applyFill="1" applyAlignment="1">
      <alignment vertical="center"/>
    </xf>
    <xf numFmtId="0" fontId="34" fillId="0" borderId="0" xfId="0" applyFont="1"/>
    <xf numFmtId="0" fontId="28" fillId="23" borderId="0" xfId="0" applyFont="1" applyFill="1" applyAlignment="1">
      <alignment horizontal="center"/>
    </xf>
    <xf numFmtId="0" fontId="26" fillId="3" borderId="0" xfId="0" applyFont="1" applyFill="1"/>
    <xf numFmtId="0" fontId="28" fillId="3" borderId="0" xfId="0" applyFont="1" applyFill="1" applyAlignment="1">
      <alignment horizontal="center"/>
    </xf>
    <xf numFmtId="0" fontId="35" fillId="3" borderId="0" xfId="0" applyFont="1" applyFill="1"/>
    <xf numFmtId="0" fontId="31" fillId="3" borderId="0" xfId="0" applyFont="1" applyFill="1"/>
    <xf numFmtId="0" fontId="36" fillId="3" borderId="0" xfId="0" applyFont="1" applyFill="1"/>
    <xf numFmtId="0" fontId="30" fillId="3" borderId="0" xfId="0" applyFont="1" applyFill="1" applyAlignment="1">
      <alignment horizontal="center"/>
    </xf>
    <xf numFmtId="0" fontId="37" fillId="3" borderId="0" xfId="0" applyFont="1" applyFill="1"/>
    <xf numFmtId="0" fontId="28" fillId="3" borderId="0" xfId="0" applyFont="1" applyFill="1"/>
    <xf numFmtId="0" fontId="39" fillId="3" borderId="0" xfId="0" applyFont="1" applyFill="1"/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32" fillId="26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40" fillId="27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/>
    </xf>
    <xf numFmtId="0" fontId="32" fillId="29" borderId="0" xfId="0" applyFont="1" applyFill="1" applyAlignment="1">
      <alignment vertical="center"/>
    </xf>
    <xf numFmtId="0" fontId="32" fillId="10" borderId="0" xfId="0" applyFont="1" applyFill="1" applyAlignment="1">
      <alignment vertical="center"/>
    </xf>
    <xf numFmtId="0" fontId="30" fillId="3" borderId="0" xfId="0" applyFont="1" applyFill="1" applyAlignment="1">
      <alignment horizontal="left" vertical="center"/>
    </xf>
    <xf numFmtId="0" fontId="28" fillId="33" borderId="34" xfId="0" applyFont="1" applyFill="1" applyBorder="1"/>
    <xf numFmtId="0" fontId="28" fillId="6" borderId="0" xfId="0" applyFont="1" applyFill="1"/>
    <xf numFmtId="0" fontId="28" fillId="0" borderId="0" xfId="0" applyFont="1" applyAlignment="1">
      <alignment wrapText="1"/>
    </xf>
    <xf numFmtId="0" fontId="28" fillId="34" borderId="0" xfId="0" applyFont="1" applyFill="1"/>
    <xf numFmtId="0" fontId="42" fillId="0" borderId="0" xfId="0" applyFont="1"/>
    <xf numFmtId="0" fontId="26" fillId="0" borderId="0" xfId="0" applyFont="1" applyAlignment="1">
      <alignment horizontal="center"/>
    </xf>
    <xf numFmtId="0" fontId="43" fillId="35" borderId="0" xfId="0" applyFont="1" applyFill="1"/>
    <xf numFmtId="0" fontId="44" fillId="36" borderId="35" xfId="0" applyFont="1" applyFill="1" applyBorder="1"/>
    <xf numFmtId="0" fontId="44" fillId="36" borderId="37" xfId="0" applyFont="1" applyFill="1" applyBorder="1"/>
    <xf numFmtId="0" fontId="44" fillId="37" borderId="38" xfId="0" applyFont="1" applyFill="1" applyBorder="1"/>
    <xf numFmtId="0" fontId="44" fillId="37" borderId="39" xfId="0" applyFont="1" applyFill="1" applyBorder="1"/>
    <xf numFmtId="0" fontId="44" fillId="37" borderId="14" xfId="0" applyFont="1" applyFill="1" applyBorder="1"/>
    <xf numFmtId="0" fontId="44" fillId="37" borderId="40" xfId="0" applyFont="1" applyFill="1" applyBorder="1"/>
    <xf numFmtId="0" fontId="44" fillId="37" borderId="20" xfId="0" applyFont="1" applyFill="1" applyBorder="1"/>
    <xf numFmtId="0" fontId="44" fillId="37" borderId="37" xfId="0" applyFont="1" applyFill="1" applyBorder="1"/>
    <xf numFmtId="0" fontId="44" fillId="37" borderId="17" xfId="0" applyFont="1" applyFill="1" applyBorder="1"/>
    <xf numFmtId="0" fontId="28" fillId="38" borderId="37" xfId="0" applyFont="1" applyFill="1" applyBorder="1"/>
    <xf numFmtId="0" fontId="28" fillId="39" borderId="18" xfId="0" applyFont="1" applyFill="1" applyBorder="1"/>
    <xf numFmtId="0" fontId="26" fillId="39" borderId="15" xfId="0" applyFont="1" applyFill="1" applyBorder="1"/>
    <xf numFmtId="0" fontId="26" fillId="39" borderId="20" xfId="0" applyFont="1" applyFill="1" applyBorder="1"/>
    <xf numFmtId="0" fontId="26" fillId="39" borderId="17" xfId="0" applyFont="1" applyFill="1" applyBorder="1"/>
    <xf numFmtId="0" fontId="28" fillId="40" borderId="18" xfId="0" applyFont="1" applyFill="1" applyBorder="1"/>
    <xf numFmtId="0" fontId="26" fillId="40" borderId="15" xfId="0" applyFont="1" applyFill="1" applyBorder="1"/>
    <xf numFmtId="0" fontId="26" fillId="40" borderId="8" xfId="0" applyFont="1" applyFill="1" applyBorder="1"/>
    <xf numFmtId="0" fontId="45" fillId="41" borderId="34" xfId="0" applyFont="1" applyFill="1" applyBorder="1"/>
    <xf numFmtId="0" fontId="28" fillId="40" borderId="20" xfId="0" applyFont="1" applyFill="1" applyBorder="1"/>
    <xf numFmtId="0" fontId="26" fillId="40" borderId="17" xfId="0" applyFont="1" applyFill="1" applyBorder="1"/>
    <xf numFmtId="0" fontId="11" fillId="0" borderId="23" xfId="0" applyFont="1" applyBorder="1"/>
    <xf numFmtId="0" fontId="11" fillId="0" borderId="34" xfId="0" applyFont="1" applyBorder="1"/>
    <xf numFmtId="0" fontId="4" fillId="0" borderId="40" xfId="0" applyFont="1" applyBorder="1"/>
    <xf numFmtId="0" fontId="11" fillId="42" borderId="0" xfId="0" applyFont="1" applyFill="1"/>
    <xf numFmtId="0" fontId="28" fillId="10" borderId="0" xfId="0" applyFont="1" applyFill="1"/>
    <xf numFmtId="0" fontId="33" fillId="3" borderId="0" xfId="0" applyFont="1" applyFill="1"/>
    <xf numFmtId="16" fontId="31" fillId="3" borderId="0" xfId="0" applyNumberFormat="1" applyFont="1" applyFill="1"/>
    <xf numFmtId="0" fontId="32" fillId="3" borderId="0" xfId="0" applyFont="1" applyFill="1"/>
    <xf numFmtId="16" fontId="37" fillId="3" borderId="0" xfId="0" applyNumberFormat="1" applyFont="1" applyFill="1"/>
    <xf numFmtId="0" fontId="5" fillId="0" borderId="0" xfId="0" applyFont="1"/>
    <xf numFmtId="0" fontId="11" fillId="0" borderId="15" xfId="0" applyFont="1" applyBorder="1"/>
    <xf numFmtId="0" fontId="8" fillId="0" borderId="15" xfId="0" applyFont="1" applyBorder="1"/>
    <xf numFmtId="0" fontId="11" fillId="0" borderId="0" xfId="0" applyFont="1"/>
    <xf numFmtId="0" fontId="5" fillId="0" borderId="15" xfId="0" applyFont="1" applyBorder="1"/>
    <xf numFmtId="0" fontId="4" fillId="0" borderId="34" xfId="0" applyFont="1" applyBorder="1"/>
    <xf numFmtId="0" fontId="23" fillId="0" borderId="48" xfId="0" applyFont="1" applyBorder="1"/>
    <xf numFmtId="0" fontId="23" fillId="0" borderId="49" xfId="0" applyFont="1" applyBorder="1"/>
    <xf numFmtId="0" fontId="11" fillId="0" borderId="35" xfId="0" applyFont="1" applyBorder="1"/>
    <xf numFmtId="0" fontId="11" fillId="0" borderId="42" xfId="0" applyFont="1" applyBorder="1"/>
    <xf numFmtId="0" fontId="46" fillId="3" borderId="21" xfId="0" applyFont="1" applyFill="1" applyBorder="1"/>
    <xf numFmtId="0" fontId="46" fillId="3" borderId="25" xfId="0" applyFont="1" applyFill="1" applyBorder="1"/>
    <xf numFmtId="0" fontId="4" fillId="0" borderId="35" xfId="0" applyFont="1" applyBorder="1"/>
    <xf numFmtId="0" fontId="4" fillId="0" borderId="15" xfId="0" applyFont="1" applyBorder="1"/>
    <xf numFmtId="0" fontId="11" fillId="0" borderId="24" xfId="0" applyFont="1" applyBorder="1"/>
    <xf numFmtId="0" fontId="47" fillId="0" borderId="0" xfId="0" applyFont="1" applyAlignment="1">
      <alignment horizontal="center"/>
    </xf>
    <xf numFmtId="0" fontId="28" fillId="6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6" borderId="0" xfId="0" applyFont="1" applyFill="1" applyAlignment="1">
      <alignment vertical="center"/>
    </xf>
    <xf numFmtId="0" fontId="33" fillId="3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2" fillId="27" borderId="0" xfId="0" applyFont="1" applyFill="1" applyAlignment="1">
      <alignment horizontal="center" vertical="center"/>
    </xf>
    <xf numFmtId="0" fontId="8" fillId="0" borderId="19" xfId="0" applyFont="1" applyBorder="1"/>
    <xf numFmtId="0" fontId="8" fillId="0" borderId="8" xfId="0" applyFont="1" applyBorder="1"/>
    <xf numFmtId="0" fontId="8" fillId="12" borderId="34" xfId="0" applyFont="1" applyFill="1" applyBorder="1"/>
    <xf numFmtId="0" fontId="26" fillId="0" borderId="0" xfId="0" applyFont="1"/>
    <xf numFmtId="0" fontId="28" fillId="24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6" borderId="0" xfId="0" applyFont="1" applyFill="1" applyAlignment="1">
      <alignment vertical="center"/>
    </xf>
    <xf numFmtId="0" fontId="33" fillId="3" borderId="0" xfId="0" applyFont="1" applyFill="1" applyAlignment="1">
      <alignment horizontal="center" vertical="center"/>
    </xf>
    <xf numFmtId="0" fontId="32" fillId="25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/>
    </xf>
    <xf numFmtId="0" fontId="32" fillId="3" borderId="0" xfId="0" applyFont="1" applyFill="1"/>
    <xf numFmtId="0" fontId="31" fillId="3" borderId="0" xfId="0" applyFont="1" applyFill="1" applyAlignment="1">
      <alignment horizontal="center"/>
    </xf>
    <xf numFmtId="0" fontId="31" fillId="3" borderId="0" xfId="0" applyFont="1" applyFill="1"/>
    <xf numFmtId="0" fontId="26" fillId="3" borderId="0" xfId="0" applyFont="1" applyFill="1"/>
    <xf numFmtId="0" fontId="38" fillId="3" borderId="0" xfId="0" applyFont="1" applyFill="1" applyAlignment="1">
      <alignment horizontal="center"/>
    </xf>
    <xf numFmtId="0" fontId="30" fillId="3" borderId="0" xfId="0" applyFont="1" applyFill="1"/>
    <xf numFmtId="0" fontId="28" fillId="0" borderId="0" xfId="0" applyFont="1"/>
    <xf numFmtId="0" fontId="33" fillId="3" borderId="0" xfId="0" applyFont="1" applyFill="1"/>
    <xf numFmtId="0" fontId="32" fillId="0" borderId="0" xfId="0" applyFont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32" fillId="27" borderId="0" xfId="0" applyFont="1" applyFill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32" fillId="29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18" borderId="0" xfId="0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16" fontId="30" fillId="20" borderId="0" xfId="0" applyNumberFormat="1" applyFont="1" applyFill="1" applyAlignment="1">
      <alignment horizontal="left" vertical="center"/>
    </xf>
    <xf numFmtId="0" fontId="30" fillId="20" borderId="0" xfId="0" applyFont="1" applyFill="1" applyAlignment="1">
      <alignment horizontal="left" vertical="center"/>
    </xf>
    <xf numFmtId="16" fontId="30" fillId="3" borderId="0" xfId="0" applyNumberFormat="1" applyFont="1" applyFill="1" applyAlignment="1">
      <alignment horizontal="center" vertical="center"/>
    </xf>
    <xf numFmtId="0" fontId="48" fillId="25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0" fontId="28" fillId="6" borderId="0" xfId="0" applyFont="1" applyFill="1"/>
    <xf numFmtId="0" fontId="28" fillId="25" borderId="0" xfId="0" applyFont="1" applyFill="1"/>
    <xf numFmtId="0" fontId="28" fillId="25" borderId="14" xfId="0" applyFont="1" applyFill="1" applyBorder="1"/>
    <xf numFmtId="0" fontId="33" fillId="25" borderId="0" xfId="0" applyFont="1" applyFill="1"/>
    <xf numFmtId="0" fontId="9" fillId="19" borderId="0" xfId="0" applyFont="1" applyFill="1" applyAlignment="1">
      <alignment horizontal="center" vertical="center"/>
    </xf>
    <xf numFmtId="0" fontId="28" fillId="31" borderId="0" xfId="0" applyFont="1" applyFill="1"/>
    <xf numFmtId="0" fontId="28" fillId="32" borderId="0" xfId="0" applyFont="1" applyFill="1"/>
    <xf numFmtId="0" fontId="28" fillId="10" borderId="0" xfId="0" applyFont="1" applyFill="1"/>
    <xf numFmtId="0" fontId="44" fillId="36" borderId="36" xfId="0" applyFont="1" applyFill="1" applyBorder="1"/>
    <xf numFmtId="0" fontId="42" fillId="0" borderId="0" xfId="0" applyFont="1"/>
    <xf numFmtId="0" fontId="44" fillId="36" borderId="34" xfId="0" applyFont="1" applyFill="1" applyBorder="1"/>
    <xf numFmtId="0" fontId="38" fillId="36" borderId="34" xfId="0" applyFont="1" applyFill="1" applyBorder="1"/>
    <xf numFmtId="0" fontId="44" fillId="37" borderId="45" xfId="0" applyFont="1" applyFill="1" applyBorder="1"/>
    <xf numFmtId="0" fontId="44" fillId="37" borderId="41" xfId="0" applyFont="1" applyFill="1" applyBorder="1"/>
    <xf numFmtId="0" fontId="44" fillId="37" borderId="42" xfId="0" applyFont="1" applyFill="1" applyBorder="1"/>
    <xf numFmtId="0" fontId="44" fillId="37" borderId="43" xfId="0" applyFont="1" applyFill="1" applyBorder="1"/>
    <xf numFmtId="0" fontId="44" fillId="37" borderId="44" xfId="0" applyFont="1" applyFill="1" applyBorder="1"/>
    <xf numFmtId="0" fontId="44" fillId="37" borderId="46" xfId="0" applyFont="1" applyFill="1" applyBorder="1"/>
    <xf numFmtId="0" fontId="28" fillId="0" borderId="36" xfId="0" applyFont="1" applyBorder="1" applyAlignment="1">
      <alignment horizontal="center"/>
    </xf>
    <xf numFmtId="0" fontId="44" fillId="37" borderId="0" xfId="0" applyFont="1" applyFill="1"/>
    <xf numFmtId="0" fontId="44" fillId="37" borderId="47" xfId="0" applyFont="1" applyFill="1" applyBorder="1"/>
    <xf numFmtId="0" fontId="28" fillId="38" borderId="36" xfId="0" applyFont="1" applyFill="1" applyBorder="1"/>
    <xf numFmtId="0" fontId="26" fillId="38" borderId="36" xfId="0" applyFont="1" applyFill="1" applyBorder="1" applyAlignment="1">
      <alignment horizontal="center"/>
    </xf>
    <xf numFmtId="0" fontId="26" fillId="38" borderId="36" xfId="0" applyFont="1" applyFill="1" applyBorder="1"/>
    <xf numFmtId="0" fontId="26" fillId="38" borderId="34" xfId="0" applyFont="1" applyFill="1" applyBorder="1" applyAlignment="1">
      <alignment horizontal="center"/>
    </xf>
    <xf numFmtId="0" fontId="26" fillId="38" borderId="34" xfId="0" applyFont="1" applyFill="1" applyBorder="1"/>
    <xf numFmtId="0" fontId="28" fillId="38" borderId="36" xfId="0" applyFont="1" applyFill="1" applyBorder="1" applyAlignment="1">
      <alignment horizontal="center"/>
    </xf>
    <xf numFmtId="0" fontId="26" fillId="40" borderId="8" xfId="0" applyFont="1" applyFill="1" applyBorder="1"/>
    <xf numFmtId="0" fontId="26" fillId="39" borderId="19" xfId="0" applyFont="1" applyFill="1" applyBorder="1"/>
    <xf numFmtId="0" fontId="26" fillId="39" borderId="15" xfId="0" applyFont="1" applyFill="1" applyBorder="1"/>
    <xf numFmtId="0" fontId="26" fillId="39" borderId="8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3" fillId="5" borderId="5" xfId="0" applyFont="1" applyFill="1" applyBorder="1"/>
    <xf numFmtId="0" fontId="3" fillId="5" borderId="4" xfId="0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16" fontId="4" fillId="2" borderId="9" xfId="0" applyNumberFormat="1" applyFont="1" applyFill="1" applyBorder="1"/>
    <xf numFmtId="0" fontId="4" fillId="2" borderId="10" xfId="0" applyFont="1" applyFill="1" applyBorder="1"/>
    <xf numFmtId="16" fontId="4" fillId="2" borderId="11" xfId="0" applyNumberFormat="1" applyFont="1" applyFill="1" applyBorder="1"/>
    <xf numFmtId="16" fontId="4" fillId="2" borderId="6" xfId="0" applyNumberFormat="1" applyFont="1" applyFill="1" applyBorder="1"/>
    <xf numFmtId="0" fontId="4" fillId="2" borderId="12" xfId="0" applyFont="1" applyFill="1" applyBorder="1"/>
    <xf numFmtId="0" fontId="3" fillId="2" borderId="8" xfId="0" applyFont="1" applyFill="1" applyBorder="1"/>
    <xf numFmtId="0" fontId="3" fillId="2" borderId="7" xfId="0" applyFont="1" applyFill="1" applyBorder="1"/>
    <xf numFmtId="0" fontId="3" fillId="4" borderId="5" xfId="0" applyFont="1" applyFill="1" applyBorder="1"/>
    <xf numFmtId="0" fontId="3" fillId="2" borderId="3" xfId="0" applyFont="1" applyFill="1" applyBorder="1"/>
    <xf numFmtId="0" fontId="4" fillId="2" borderId="6" xfId="0" applyFont="1" applyFill="1" applyBorder="1"/>
    <xf numFmtId="0" fontId="4" fillId="2" borderId="13" xfId="0" applyFont="1" applyFill="1" applyBorder="1"/>
    <xf numFmtId="0" fontId="4" fillId="2" borderId="0" xfId="0" applyFont="1" applyFill="1"/>
    <xf numFmtId="0" fontId="4" fillId="2" borderId="14" xfId="0" applyFont="1" applyFill="1" applyBorder="1"/>
    <xf numFmtId="0" fontId="7" fillId="0" borderId="8" xfId="0" applyFont="1" applyBorder="1"/>
    <xf numFmtId="0" fontId="8" fillId="0" borderId="8" xfId="0" applyFont="1" applyBorder="1"/>
    <xf numFmtId="0" fontId="8" fillId="0" borderId="7" xfId="0" applyFont="1" applyBorder="1"/>
    <xf numFmtId="0" fontId="8" fillId="5" borderId="8" xfId="0" applyFont="1" applyFill="1" applyBorder="1"/>
    <xf numFmtId="0" fontId="8" fillId="0" borderId="15" xfId="0" applyFont="1" applyBorder="1"/>
    <xf numFmtId="0" fontId="8" fillId="5" borderId="15" xfId="0" applyFont="1" applyFill="1" applyBorder="1"/>
    <xf numFmtId="0" fontId="7" fillId="0" borderId="7" xfId="0" applyFont="1" applyBorder="1"/>
    <xf numFmtId="0" fontId="5" fillId="0" borderId="0" xfId="0" applyFont="1"/>
    <xf numFmtId="0" fontId="8" fillId="5" borderId="19" xfId="0" applyFont="1" applyFill="1" applyBorder="1"/>
    <xf numFmtId="0" fontId="7" fillId="0" borderId="19" xfId="0" applyFont="1" applyBorder="1"/>
    <xf numFmtId="0" fontId="11" fillId="0" borderId="19" xfId="0" applyFont="1" applyBorder="1"/>
    <xf numFmtId="0" fontId="11" fillId="0" borderId="15" xfId="0" applyFont="1" applyBorder="1"/>
    <xf numFmtId="0" fontId="11" fillId="4" borderId="19" xfId="0" applyFont="1" applyFill="1" applyBorder="1"/>
    <xf numFmtId="0" fontId="11" fillId="4" borderId="15" xfId="0" applyFont="1" applyFill="1" applyBorder="1"/>
    <xf numFmtId="0" fontId="7" fillId="18" borderId="8" xfId="0" applyFont="1" applyFill="1" applyBorder="1"/>
    <xf numFmtId="0" fontId="8" fillId="19" borderId="8" xfId="0" applyFont="1" applyFill="1" applyBorder="1"/>
    <xf numFmtId="0" fontId="8" fillId="19" borderId="15" xfId="0" applyFont="1" applyFill="1" applyBorder="1"/>
    <xf numFmtId="0" fontId="8" fillId="19" borderId="7" xfId="0" applyFont="1" applyFill="1" applyBorder="1"/>
    <xf numFmtId="0" fontId="7" fillId="43" borderId="8" xfId="0" applyFont="1" applyFill="1" applyBorder="1"/>
    <xf numFmtId="0" fontId="8" fillId="10" borderId="8" xfId="0" applyFont="1" applyFill="1" applyBorder="1"/>
    <xf numFmtId="0" fontId="8" fillId="10" borderId="15" xfId="0" applyFont="1" applyFill="1" applyBorder="1"/>
    <xf numFmtId="0" fontId="8" fillId="18" borderId="8" xfId="0" applyFont="1" applyFill="1" applyBorder="1"/>
    <xf numFmtId="0" fontId="8" fillId="18" borderId="15" xfId="0" applyFont="1" applyFill="1" applyBorder="1"/>
    <xf numFmtId="0" fontId="8" fillId="12" borderId="34" xfId="0" applyFont="1" applyFill="1" applyBorder="1"/>
  </cellXfs>
  <cellStyles count="1">
    <cellStyle name="Normal" xfId="0" builtinId="0"/>
  </cellStyles>
  <dxfs count="39">
    <dxf>
      <font>
        <b/>
        <i val="0"/>
        <color rgb="FF002060"/>
      </font>
    </dxf>
    <dxf>
      <font>
        <b/>
        <i val="0"/>
        <color theme="0"/>
      </font>
      <fill>
        <patternFill patternType="solid">
          <bgColor theme="4" tint="-0.249977111117893"/>
        </patternFill>
      </fill>
    </dxf>
    <dxf>
      <font>
        <b/>
        <i val="0"/>
        <color rgb="FFFFFF0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theme="9" tint="0.79998168889431442"/>
        </patternFill>
      </fill>
    </dxf>
    <dxf>
      <font>
        <b/>
        <i val="0"/>
      </font>
      <fill>
        <patternFill patternType="solid">
          <bgColor rgb="FFFF52F3"/>
        </patternFill>
      </fill>
    </dxf>
    <dxf>
      <font>
        <b/>
        <i val="0"/>
        <color rgb="FFFF0000"/>
      </font>
    </dxf>
    <dxf>
      <font>
        <color theme="1"/>
      </font>
      <fill>
        <patternFill patternType="solid">
          <bgColor rgb="FFFF00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68B6E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</font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52F3"/>
        </patternFill>
      </fill>
    </dxf>
    <dxf>
      <font>
        <color rgb="FF9C0006"/>
      </font>
      <fill>
        <patternFill patternType="solid">
          <bgColor rgb="FFFF52F3"/>
        </patternFill>
      </fill>
    </dxf>
  </dxfs>
  <tableStyles count="0" defaultTableStyle="TableStyleMedium2" defaultPivotStyle="PivotStyleMedium9"/>
  <colors>
    <mruColors>
      <color rgb="FFFF52F3"/>
      <color rgb="FF68B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4429-5814-4116-BB0D-CD16D9901482}">
  <dimension ref="A1:AG79"/>
  <sheetViews>
    <sheetView workbookViewId="0">
      <pane xSplit="1" topLeftCell="B1" activePane="topRight" state="frozen"/>
      <selection pane="topRight" activeCell="D53" sqref="D53"/>
    </sheetView>
  </sheetViews>
  <sheetFormatPr baseColWidth="10" defaultColWidth="8.83203125" defaultRowHeight="15" x14ac:dyDescent="0.2"/>
  <cols>
    <col min="1" max="1" width="16.6640625" bestFit="1" customWidth="1"/>
    <col min="3" max="3" width="12.5" customWidth="1"/>
    <col min="4" max="4" width="26.83203125" customWidth="1"/>
    <col min="5" max="5" width="7" customWidth="1"/>
    <col min="7" max="7" width="19.5" bestFit="1" customWidth="1"/>
    <col min="10" max="11" width="21.5" customWidth="1"/>
  </cols>
  <sheetData>
    <row r="1" spans="1:33" x14ac:dyDescent="0.2">
      <c r="A1" s="86" t="s">
        <v>0</v>
      </c>
      <c r="B1" s="87" t="s">
        <v>1</v>
      </c>
      <c r="C1" s="87"/>
      <c r="D1" s="87" t="s">
        <v>2</v>
      </c>
      <c r="E1" s="87"/>
      <c r="F1" s="87" t="s">
        <v>3</v>
      </c>
      <c r="G1" s="87"/>
      <c r="H1" s="87" t="s">
        <v>4</v>
      </c>
      <c r="I1" s="87"/>
      <c r="J1" s="87" t="s">
        <v>5</v>
      </c>
      <c r="K1" s="87"/>
      <c r="L1" s="87" t="s">
        <v>6</v>
      </c>
      <c r="M1" s="87"/>
      <c r="N1" s="87" t="s">
        <v>7</v>
      </c>
      <c r="O1" s="87"/>
      <c r="P1" s="87" t="s">
        <v>8</v>
      </c>
      <c r="Q1" s="87"/>
      <c r="R1" s="87" t="s">
        <v>9</v>
      </c>
      <c r="S1" s="87"/>
      <c r="T1" s="87" t="s">
        <v>10</v>
      </c>
      <c r="U1" s="87"/>
      <c r="V1" s="87" t="s">
        <v>11</v>
      </c>
      <c r="W1" s="87"/>
      <c r="X1" s="87" t="s">
        <v>12</v>
      </c>
      <c r="Y1" s="87"/>
      <c r="Z1" s="87" t="s">
        <v>13</v>
      </c>
      <c r="AA1" s="87"/>
      <c r="AB1" s="182" t="s">
        <v>14</v>
      </c>
      <c r="AC1" s="182"/>
      <c r="AD1" s="182" t="s">
        <v>15</v>
      </c>
      <c r="AE1" s="182"/>
      <c r="AF1" s="182" t="s">
        <v>16</v>
      </c>
      <c r="AG1" s="182"/>
    </row>
    <row r="2" spans="1:33" x14ac:dyDescent="0.2">
      <c r="A2" s="86" t="s">
        <v>17</v>
      </c>
      <c r="B2" s="87" t="s">
        <v>18</v>
      </c>
      <c r="C2" s="87"/>
      <c r="D2" s="87" t="s">
        <v>19</v>
      </c>
      <c r="E2" s="87"/>
      <c r="F2" s="87" t="s">
        <v>20</v>
      </c>
      <c r="G2" s="87"/>
      <c r="H2" s="87" t="s">
        <v>21</v>
      </c>
      <c r="I2" s="87"/>
      <c r="J2" s="87" t="s">
        <v>22</v>
      </c>
      <c r="K2" s="87"/>
      <c r="L2" s="87" t="s">
        <v>23</v>
      </c>
      <c r="M2" s="87"/>
      <c r="N2" s="87" t="s">
        <v>24</v>
      </c>
      <c r="O2" s="87"/>
      <c r="P2" s="87" t="s">
        <v>25</v>
      </c>
      <c r="Q2" s="87"/>
      <c r="R2" s="87" t="s">
        <v>26</v>
      </c>
      <c r="S2" s="87"/>
      <c r="T2" s="87" t="s">
        <v>27</v>
      </c>
      <c r="U2" s="87"/>
      <c r="V2" s="87" t="s">
        <v>28</v>
      </c>
      <c r="W2" s="87"/>
      <c r="X2" s="87" t="s">
        <v>29</v>
      </c>
      <c r="Y2" s="87"/>
      <c r="Z2" s="87" t="s">
        <v>30</v>
      </c>
      <c r="AA2" s="87"/>
      <c r="AB2" s="88"/>
      <c r="AC2" s="88"/>
      <c r="AD2" s="88"/>
      <c r="AE2" s="88"/>
      <c r="AF2" s="88"/>
      <c r="AG2" s="88"/>
    </row>
    <row r="3" spans="1:33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</row>
    <row r="4" spans="1:33" ht="29" x14ac:dyDescent="0.35">
      <c r="A4" s="88"/>
      <c r="B4" s="88"/>
      <c r="C4" s="88"/>
      <c r="D4" s="88"/>
      <c r="E4" s="88"/>
      <c r="F4" s="88"/>
      <c r="G4" s="88"/>
      <c r="H4" s="89" t="s">
        <v>31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</row>
    <row r="5" spans="1:33" x14ac:dyDescent="0.2">
      <c r="A5" s="90" t="s">
        <v>559</v>
      </c>
      <c r="B5" s="183" t="s">
        <v>32</v>
      </c>
      <c r="C5" s="183"/>
      <c r="D5" s="184" t="s">
        <v>33</v>
      </c>
      <c r="E5" s="184"/>
      <c r="F5" s="185" t="s">
        <v>34</v>
      </c>
      <c r="G5" s="185"/>
      <c r="H5" s="185" t="s">
        <v>35</v>
      </c>
      <c r="I5" s="185"/>
      <c r="J5" s="186" t="s">
        <v>36</v>
      </c>
      <c r="K5" s="186"/>
      <c r="L5" s="184" t="s">
        <v>37</v>
      </c>
      <c r="M5" s="184"/>
      <c r="N5" s="185" t="s">
        <v>38</v>
      </c>
      <c r="O5" s="185"/>
      <c r="P5" s="184" t="s">
        <v>39</v>
      </c>
      <c r="Q5" s="184"/>
      <c r="R5" s="185" t="s">
        <v>40</v>
      </c>
      <c r="S5" s="185"/>
      <c r="T5" s="185" t="s">
        <v>41</v>
      </c>
      <c r="U5" s="185"/>
      <c r="V5" s="185" t="s">
        <v>42</v>
      </c>
      <c r="W5" s="185"/>
      <c r="X5" s="91" t="s">
        <v>43</v>
      </c>
      <c r="Y5" s="172" t="s">
        <v>44</v>
      </c>
      <c r="Z5" s="92" t="s">
        <v>45</v>
      </c>
      <c r="AA5" s="169" t="s">
        <v>46</v>
      </c>
      <c r="AB5" s="182"/>
      <c r="AC5" s="182"/>
      <c r="AD5" s="88"/>
      <c r="AE5" s="88"/>
      <c r="AF5" s="88"/>
      <c r="AG5" s="88"/>
    </row>
    <row r="6" spans="1:33" x14ac:dyDescent="0.2">
      <c r="A6" s="171"/>
      <c r="B6" s="171"/>
      <c r="C6" s="171"/>
      <c r="D6" s="171"/>
      <c r="E6" s="171"/>
      <c r="F6" s="171"/>
      <c r="G6" s="171"/>
      <c r="H6" s="187" t="s">
        <v>47</v>
      </c>
      <c r="I6" s="187"/>
      <c r="J6" s="171"/>
      <c r="K6" s="171"/>
      <c r="L6" s="171"/>
      <c r="M6" s="171"/>
      <c r="N6" s="187" t="s">
        <v>48</v>
      </c>
      <c r="O6" s="187"/>
      <c r="P6" s="188"/>
      <c r="Q6" s="188"/>
      <c r="R6" s="170" t="s">
        <v>49</v>
      </c>
      <c r="S6" s="171"/>
      <c r="T6" s="171"/>
      <c r="U6" s="171"/>
      <c r="V6" s="187" t="s">
        <v>50</v>
      </c>
      <c r="W6" s="187"/>
      <c r="X6" s="188"/>
      <c r="Y6" s="188"/>
      <c r="Z6" s="188"/>
      <c r="AA6" s="188"/>
      <c r="AB6" s="93"/>
      <c r="AC6" s="88"/>
      <c r="AD6" s="88"/>
      <c r="AE6" s="88"/>
      <c r="AF6" s="88"/>
      <c r="AG6" s="88"/>
    </row>
    <row r="7" spans="1:33" x14ac:dyDescent="0.2">
      <c r="A7" s="90" t="s">
        <v>560</v>
      </c>
      <c r="B7" s="183" t="s">
        <v>51</v>
      </c>
      <c r="C7" s="183"/>
      <c r="D7" s="185" t="s">
        <v>52</v>
      </c>
      <c r="E7" s="185"/>
      <c r="F7" s="184" t="s">
        <v>37</v>
      </c>
      <c r="G7" s="184"/>
      <c r="H7" s="185" t="s">
        <v>42</v>
      </c>
      <c r="I7" s="185"/>
      <c r="J7" s="185" t="s">
        <v>41</v>
      </c>
      <c r="K7" s="185"/>
      <c r="L7" s="185" t="s">
        <v>40</v>
      </c>
      <c r="M7" s="185"/>
      <c r="N7" s="186" t="s">
        <v>36</v>
      </c>
      <c r="O7" s="186"/>
      <c r="P7" s="184" t="s">
        <v>33</v>
      </c>
      <c r="Q7" s="184"/>
      <c r="R7" s="185" t="s">
        <v>38</v>
      </c>
      <c r="S7" s="185"/>
      <c r="T7" s="172" t="s">
        <v>44</v>
      </c>
      <c r="U7" s="91" t="s">
        <v>43</v>
      </c>
      <c r="V7" s="185" t="s">
        <v>53</v>
      </c>
      <c r="W7" s="185"/>
      <c r="X7" s="92" t="s">
        <v>45</v>
      </c>
      <c r="Y7" s="169" t="s">
        <v>54</v>
      </c>
      <c r="Z7" s="189" t="s">
        <v>39</v>
      </c>
      <c r="AA7" s="189"/>
      <c r="AB7" s="147" t="s">
        <v>34</v>
      </c>
      <c r="AC7" s="147"/>
      <c r="AD7" s="88"/>
      <c r="AE7" s="88"/>
      <c r="AF7" s="88"/>
      <c r="AG7" s="88"/>
    </row>
    <row r="8" spans="1:33" x14ac:dyDescent="0.2">
      <c r="A8" s="171"/>
      <c r="B8" s="171"/>
      <c r="C8" s="171"/>
      <c r="D8" s="171"/>
      <c r="E8" s="171"/>
      <c r="F8" s="188"/>
      <c r="G8" s="188"/>
      <c r="H8" s="171"/>
      <c r="I8" s="171"/>
      <c r="J8" s="187" t="s">
        <v>55</v>
      </c>
      <c r="K8" s="187"/>
      <c r="L8" s="187" t="s">
        <v>56</v>
      </c>
      <c r="M8" s="187"/>
      <c r="N8" s="171"/>
      <c r="O8" s="171"/>
      <c r="P8" s="171"/>
      <c r="Q8" s="171"/>
      <c r="R8" s="187" t="s">
        <v>57</v>
      </c>
      <c r="S8" s="187"/>
      <c r="T8" s="171"/>
      <c r="U8" s="171"/>
      <c r="V8" s="171"/>
      <c r="W8" s="171"/>
      <c r="X8" s="171"/>
      <c r="Y8" s="171"/>
      <c r="Z8" s="171"/>
      <c r="AA8" s="171"/>
      <c r="AB8" s="88"/>
      <c r="AC8" s="88"/>
      <c r="AD8" s="88"/>
      <c r="AE8" s="88"/>
      <c r="AF8" s="88"/>
      <c r="AG8" s="88"/>
    </row>
    <row r="9" spans="1:33" x14ac:dyDescent="0.2">
      <c r="A9" s="90" t="s">
        <v>561</v>
      </c>
      <c r="B9" s="183" t="s">
        <v>32</v>
      </c>
      <c r="C9" s="183"/>
      <c r="D9" s="185" t="s">
        <v>41</v>
      </c>
      <c r="E9" s="185"/>
      <c r="F9" s="186" t="s">
        <v>36</v>
      </c>
      <c r="G9" s="186"/>
      <c r="H9" s="184" t="s">
        <v>37</v>
      </c>
      <c r="I9" s="184"/>
      <c r="J9" s="185" t="s">
        <v>40</v>
      </c>
      <c r="K9" s="185"/>
      <c r="L9" s="184" t="s">
        <v>33</v>
      </c>
      <c r="M9" s="184"/>
      <c r="N9" s="185" t="s">
        <v>42</v>
      </c>
      <c r="O9" s="185"/>
      <c r="P9" s="185" t="s">
        <v>35</v>
      </c>
      <c r="Q9" s="185"/>
      <c r="R9" s="172" t="s">
        <v>44</v>
      </c>
      <c r="S9" s="91" t="s">
        <v>43</v>
      </c>
      <c r="T9" s="184" t="s">
        <v>58</v>
      </c>
      <c r="U9" s="184"/>
      <c r="V9" s="185" t="s">
        <v>38</v>
      </c>
      <c r="W9" s="185"/>
      <c r="X9" s="185" t="s">
        <v>59</v>
      </c>
      <c r="Y9" s="185"/>
      <c r="Z9" s="169" t="s">
        <v>46</v>
      </c>
      <c r="AA9" s="92" t="s">
        <v>45</v>
      </c>
      <c r="AB9" s="88"/>
      <c r="AC9" s="88"/>
      <c r="AD9" s="88"/>
      <c r="AE9" s="88"/>
      <c r="AF9" s="88"/>
      <c r="AG9" s="88"/>
    </row>
    <row r="10" spans="1:33" x14ac:dyDescent="0.2">
      <c r="A10" s="171"/>
      <c r="B10" s="171"/>
      <c r="C10" s="171"/>
      <c r="D10" s="187" t="s">
        <v>60</v>
      </c>
      <c r="E10" s="187"/>
      <c r="F10" s="171"/>
      <c r="G10" s="171"/>
      <c r="H10" s="171"/>
      <c r="I10" s="171"/>
      <c r="J10" s="187" t="s">
        <v>61</v>
      </c>
      <c r="K10" s="187"/>
      <c r="L10" s="171"/>
      <c r="M10" s="171"/>
      <c r="N10" s="171"/>
      <c r="O10" s="171"/>
      <c r="P10" s="187" t="s">
        <v>62</v>
      </c>
      <c r="Q10" s="187"/>
      <c r="R10" s="171"/>
      <c r="S10" s="171"/>
      <c r="T10" s="171"/>
      <c r="U10" s="171"/>
      <c r="V10" s="187" t="s">
        <v>63</v>
      </c>
      <c r="W10" s="187"/>
      <c r="X10" s="171"/>
      <c r="Y10" s="171"/>
      <c r="Z10" s="171"/>
      <c r="AA10" s="171"/>
      <c r="AB10" s="88"/>
      <c r="AC10" s="88"/>
      <c r="AD10" s="88"/>
      <c r="AE10" s="88"/>
      <c r="AF10" s="88"/>
      <c r="AG10" s="88"/>
    </row>
    <row r="11" spans="1:33" x14ac:dyDescent="0.2">
      <c r="A11" s="90" t="s">
        <v>562</v>
      </c>
      <c r="B11" s="183" t="s">
        <v>32</v>
      </c>
      <c r="C11" s="183"/>
      <c r="D11" s="185" t="s">
        <v>64</v>
      </c>
      <c r="E11" s="185"/>
      <c r="F11" s="185" t="s">
        <v>38</v>
      </c>
      <c r="G11" s="185"/>
      <c r="H11" s="184" t="s">
        <v>33</v>
      </c>
      <c r="I11" s="184"/>
      <c r="J11" s="185" t="s">
        <v>34</v>
      </c>
      <c r="K11" s="185"/>
      <c r="L11" s="186" t="s">
        <v>36</v>
      </c>
      <c r="M11" s="186"/>
      <c r="N11" s="185" t="s">
        <v>41</v>
      </c>
      <c r="O11" s="185"/>
      <c r="P11" s="185" t="s">
        <v>42</v>
      </c>
      <c r="Q11" s="185"/>
      <c r="R11" s="184" t="s">
        <v>37</v>
      </c>
      <c r="S11" s="184"/>
      <c r="T11" s="91" t="s">
        <v>43</v>
      </c>
      <c r="U11" s="172" t="s">
        <v>44</v>
      </c>
      <c r="V11" s="184" t="s">
        <v>39</v>
      </c>
      <c r="W11" s="184"/>
      <c r="X11" s="169" t="s">
        <v>54</v>
      </c>
      <c r="Y11" s="92" t="s">
        <v>45</v>
      </c>
      <c r="Z11" s="185" t="s">
        <v>40</v>
      </c>
      <c r="AA11" s="185"/>
      <c r="AB11" s="182"/>
      <c r="AC11" s="182"/>
      <c r="AD11" s="88"/>
      <c r="AE11" s="88"/>
      <c r="AF11" s="88"/>
      <c r="AG11" s="88"/>
    </row>
    <row r="12" spans="1:33" x14ac:dyDescent="0.2">
      <c r="A12" s="171"/>
      <c r="B12" s="171"/>
      <c r="C12" s="171"/>
      <c r="D12" s="171"/>
      <c r="E12" s="171"/>
      <c r="F12" s="187" t="s">
        <v>65</v>
      </c>
      <c r="G12" s="187"/>
      <c r="H12" s="188"/>
      <c r="I12" s="188"/>
      <c r="J12" s="171"/>
      <c r="K12" s="171"/>
      <c r="L12" s="171"/>
      <c r="M12" s="171"/>
      <c r="N12" s="187" t="s">
        <v>66</v>
      </c>
      <c r="O12" s="187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87" t="s">
        <v>67</v>
      </c>
      <c r="AA12" s="187"/>
      <c r="AB12" s="93"/>
      <c r="AC12" s="88"/>
      <c r="AD12" s="88"/>
      <c r="AE12" s="88"/>
      <c r="AF12" s="88"/>
      <c r="AG12" s="88"/>
    </row>
    <row r="13" spans="1:33" x14ac:dyDescent="0.2">
      <c r="A13" s="90" t="s">
        <v>563</v>
      </c>
      <c r="B13" s="183" t="s">
        <v>32</v>
      </c>
      <c r="C13" s="183"/>
      <c r="D13" s="185" t="s">
        <v>40</v>
      </c>
      <c r="E13" s="185"/>
      <c r="F13" s="185" t="s">
        <v>41</v>
      </c>
      <c r="G13" s="185"/>
      <c r="H13" s="186" t="s">
        <v>36</v>
      </c>
      <c r="I13" s="186"/>
      <c r="J13" s="184" t="s">
        <v>37</v>
      </c>
      <c r="K13" s="184"/>
      <c r="L13" s="185" t="s">
        <v>42</v>
      </c>
      <c r="M13" s="185"/>
      <c r="N13" s="185" t="s">
        <v>35</v>
      </c>
      <c r="O13" s="185"/>
      <c r="P13" s="185" t="s">
        <v>34</v>
      </c>
      <c r="Q13" s="185"/>
      <c r="R13" s="184" t="s">
        <v>39</v>
      </c>
      <c r="S13" s="184"/>
      <c r="T13" s="185" t="s">
        <v>68</v>
      </c>
      <c r="U13" s="185"/>
      <c r="V13" s="169" t="s">
        <v>46</v>
      </c>
      <c r="W13" s="92" t="s">
        <v>45</v>
      </c>
      <c r="X13" s="172" t="s">
        <v>44</v>
      </c>
      <c r="Y13" s="91" t="s">
        <v>43</v>
      </c>
      <c r="Z13" s="94" t="s">
        <v>69</v>
      </c>
      <c r="AA13" s="92" t="s">
        <v>45</v>
      </c>
      <c r="AB13" s="88"/>
      <c r="AC13" s="88"/>
      <c r="AD13" s="88"/>
      <c r="AE13" s="88"/>
      <c r="AF13" s="88"/>
      <c r="AG13" s="88"/>
    </row>
    <row r="14" spans="1:33" x14ac:dyDescent="0.2">
      <c r="A14" s="171"/>
      <c r="B14" s="171"/>
      <c r="C14" s="171"/>
      <c r="D14" s="171"/>
      <c r="E14" s="171"/>
      <c r="F14" s="187" t="s">
        <v>70</v>
      </c>
      <c r="G14" s="187"/>
      <c r="H14" s="171"/>
      <c r="I14" s="171"/>
      <c r="J14" s="188"/>
      <c r="K14" s="188"/>
      <c r="L14" s="190" t="s">
        <v>71</v>
      </c>
      <c r="M14" s="188"/>
      <c r="N14" s="187" t="s">
        <v>72</v>
      </c>
      <c r="O14" s="187"/>
      <c r="P14" s="171"/>
      <c r="Q14" s="173" t="s">
        <v>73</v>
      </c>
      <c r="R14" s="171"/>
      <c r="S14" s="171"/>
      <c r="T14" s="188" t="s">
        <v>74</v>
      </c>
      <c r="U14" s="188"/>
      <c r="V14" s="171"/>
      <c r="W14" s="171"/>
      <c r="X14" s="171"/>
      <c r="Y14" s="171"/>
      <c r="Z14" s="188"/>
      <c r="AA14" s="188"/>
      <c r="AB14" s="88"/>
      <c r="AC14" s="88"/>
      <c r="AD14" s="88"/>
      <c r="AE14" s="88"/>
      <c r="AF14" s="88"/>
      <c r="AG14" s="88"/>
    </row>
    <row r="15" spans="1:33" x14ac:dyDescent="0.2">
      <c r="A15" s="90" t="s">
        <v>564</v>
      </c>
      <c r="B15" s="183" t="s">
        <v>32</v>
      </c>
      <c r="C15" s="183"/>
      <c r="D15" s="186" t="s">
        <v>36</v>
      </c>
      <c r="E15" s="186"/>
      <c r="F15" s="185" t="s">
        <v>40</v>
      </c>
      <c r="G15" s="185"/>
      <c r="H15" s="185" t="s">
        <v>34</v>
      </c>
      <c r="I15" s="185"/>
      <c r="J15" s="185" t="s">
        <v>35</v>
      </c>
      <c r="K15" s="185"/>
      <c r="L15" s="185" t="s">
        <v>41</v>
      </c>
      <c r="M15" s="185"/>
      <c r="N15" s="184" t="s">
        <v>39</v>
      </c>
      <c r="O15" s="184"/>
      <c r="P15" s="185" t="s">
        <v>38</v>
      </c>
      <c r="Q15" s="185"/>
      <c r="R15" s="91" t="s">
        <v>43</v>
      </c>
      <c r="S15" s="172" t="s">
        <v>44</v>
      </c>
      <c r="T15" s="184" t="s">
        <v>37</v>
      </c>
      <c r="U15" s="184"/>
      <c r="V15" s="92" t="s">
        <v>45</v>
      </c>
      <c r="W15" s="169" t="s">
        <v>46</v>
      </c>
      <c r="X15" s="185" t="s">
        <v>42</v>
      </c>
      <c r="Y15" s="185"/>
      <c r="Z15" s="184" t="s">
        <v>33</v>
      </c>
      <c r="AA15" s="184"/>
      <c r="AB15" s="182"/>
      <c r="AC15" s="182"/>
      <c r="AD15" s="88"/>
      <c r="AE15" s="88"/>
      <c r="AF15" s="88"/>
      <c r="AG15" s="88"/>
    </row>
    <row r="16" spans="1:33" x14ac:dyDescent="0.2">
      <c r="A16" s="171"/>
      <c r="B16" s="171"/>
      <c r="C16" s="171"/>
      <c r="D16" s="171"/>
      <c r="E16" s="171"/>
      <c r="F16" s="171"/>
      <c r="G16" s="171"/>
      <c r="H16" s="190" t="s">
        <v>75</v>
      </c>
      <c r="I16" s="188"/>
      <c r="J16" s="171"/>
      <c r="K16" s="171"/>
      <c r="L16" s="170" t="s">
        <v>76</v>
      </c>
      <c r="M16" s="171"/>
      <c r="N16" s="188"/>
      <c r="O16" s="188"/>
      <c r="P16" s="170"/>
      <c r="Q16" s="170" t="s">
        <v>77</v>
      </c>
      <c r="R16" s="171"/>
      <c r="S16" s="171"/>
      <c r="T16" s="171"/>
      <c r="U16" s="171"/>
      <c r="V16" s="171"/>
      <c r="W16" s="171"/>
      <c r="X16" s="170" t="s">
        <v>78</v>
      </c>
      <c r="Y16" s="170"/>
      <c r="Z16" s="171"/>
      <c r="AA16" s="171"/>
      <c r="AB16" s="95"/>
      <c r="AC16" s="88"/>
      <c r="AD16" s="88"/>
      <c r="AE16" s="88"/>
      <c r="AF16" s="88"/>
      <c r="AG16" s="88"/>
    </row>
    <row r="17" spans="1:33" ht="29" x14ac:dyDescent="0.35">
      <c r="A17" s="88"/>
      <c r="B17" s="88"/>
      <c r="C17" s="88"/>
      <c r="D17" s="88"/>
      <c r="E17" s="88"/>
      <c r="F17" s="88"/>
      <c r="G17" s="88"/>
      <c r="H17" s="89" t="s">
        <v>79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95"/>
      <c r="AC17" s="88"/>
      <c r="AD17" s="88"/>
      <c r="AE17" s="88"/>
      <c r="AF17" s="88"/>
      <c r="AG17" s="88"/>
    </row>
    <row r="18" spans="1:33" x14ac:dyDescent="0.2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</row>
    <row r="19" spans="1:33" x14ac:dyDescent="0.2">
      <c r="A19" s="96" t="s">
        <v>565</v>
      </c>
      <c r="B19" s="191" t="s">
        <v>36</v>
      </c>
      <c r="C19" s="191"/>
      <c r="D19" s="148" t="s">
        <v>80</v>
      </c>
      <c r="E19" s="97"/>
      <c r="F19" s="192" t="s">
        <v>81</v>
      </c>
      <c r="G19" s="192"/>
      <c r="H19" s="175" t="s">
        <v>82</v>
      </c>
      <c r="I19" s="92" t="s">
        <v>45</v>
      </c>
      <c r="J19" s="192" t="s">
        <v>83</v>
      </c>
      <c r="K19" s="192"/>
      <c r="L19" s="175" t="s">
        <v>69</v>
      </c>
      <c r="M19" s="92" t="s">
        <v>45</v>
      </c>
      <c r="N19" s="192" t="s">
        <v>84</v>
      </c>
      <c r="O19" s="192"/>
      <c r="P19" s="192" t="s">
        <v>85</v>
      </c>
      <c r="Q19" s="192"/>
      <c r="R19" s="192" t="s">
        <v>86</v>
      </c>
      <c r="S19" s="192"/>
      <c r="T19" s="191" t="s">
        <v>87</v>
      </c>
      <c r="U19" s="191"/>
      <c r="V19" s="192" t="s">
        <v>88</v>
      </c>
      <c r="W19" s="192"/>
      <c r="X19" s="193" t="s">
        <v>89</v>
      </c>
      <c r="Y19" s="193"/>
      <c r="Z19" s="193" t="s">
        <v>90</v>
      </c>
      <c r="AA19" s="193"/>
      <c r="AB19" s="193" t="s">
        <v>91</v>
      </c>
      <c r="AC19" s="193"/>
      <c r="AD19" s="88"/>
      <c r="AE19" s="88"/>
      <c r="AF19" s="88"/>
      <c r="AG19" s="88"/>
    </row>
    <row r="20" spans="1:33" x14ac:dyDescent="0.2">
      <c r="A20" s="98"/>
      <c r="B20" s="97"/>
      <c r="C20" s="97"/>
      <c r="D20" s="185" t="s">
        <v>38</v>
      </c>
      <c r="E20" s="185"/>
      <c r="F20" s="148"/>
      <c r="G20" s="99" t="s">
        <v>92</v>
      </c>
      <c r="H20" s="97"/>
      <c r="I20" s="97"/>
      <c r="J20" s="148"/>
      <c r="K20" s="97"/>
      <c r="L20" s="97"/>
      <c r="M20" s="97"/>
      <c r="N20" s="97"/>
      <c r="O20" s="100" t="s">
        <v>93</v>
      </c>
      <c r="P20" s="100" t="s">
        <v>94</v>
      </c>
      <c r="Q20" s="97"/>
      <c r="R20" s="97"/>
      <c r="S20" s="97"/>
      <c r="T20" s="97"/>
      <c r="U20" s="100"/>
      <c r="V20" s="149" t="s">
        <v>95</v>
      </c>
      <c r="W20" s="100"/>
      <c r="X20" s="101"/>
      <c r="Y20" s="97"/>
      <c r="Z20" s="97"/>
      <c r="AA20" s="97"/>
      <c r="AB20" s="88"/>
      <c r="AC20" s="88"/>
      <c r="AD20" s="88"/>
      <c r="AE20" s="88"/>
      <c r="AF20" s="88"/>
      <c r="AG20" s="88"/>
    </row>
    <row r="21" spans="1:33" x14ac:dyDescent="0.2">
      <c r="A21" s="96" t="s">
        <v>566</v>
      </c>
      <c r="B21" s="192" t="s">
        <v>96</v>
      </c>
      <c r="C21" s="192"/>
      <c r="D21" s="92" t="s">
        <v>45</v>
      </c>
      <c r="E21" s="94" t="s">
        <v>82</v>
      </c>
      <c r="F21" s="192" t="s">
        <v>41</v>
      </c>
      <c r="G21" s="192"/>
      <c r="H21" s="191" t="s">
        <v>97</v>
      </c>
      <c r="I21" s="191"/>
      <c r="J21" s="193" t="s">
        <v>98</v>
      </c>
      <c r="K21" s="193"/>
      <c r="L21" s="192" t="s">
        <v>85</v>
      </c>
      <c r="M21" s="192"/>
      <c r="N21" s="193" t="s">
        <v>99</v>
      </c>
      <c r="O21" s="193"/>
      <c r="P21" s="192" t="s">
        <v>88</v>
      </c>
      <c r="Q21" s="192"/>
      <c r="R21" s="193" t="s">
        <v>90</v>
      </c>
      <c r="S21" s="193"/>
      <c r="T21" s="192" t="s">
        <v>81</v>
      </c>
      <c r="U21" s="192"/>
      <c r="V21" s="191" t="s">
        <v>87</v>
      </c>
      <c r="W21" s="191"/>
      <c r="X21" s="192" t="s">
        <v>100</v>
      </c>
      <c r="Y21" s="192"/>
      <c r="Z21" s="92" t="s">
        <v>45</v>
      </c>
      <c r="AA21" s="94" t="s">
        <v>69</v>
      </c>
      <c r="AB21" s="88"/>
      <c r="AC21" s="88"/>
      <c r="AD21" s="88"/>
      <c r="AE21" s="88"/>
      <c r="AF21" s="88"/>
      <c r="AG21" s="88"/>
    </row>
    <row r="22" spans="1:33" x14ac:dyDescent="0.2">
      <c r="A22" s="102"/>
      <c r="B22" s="194" t="s">
        <v>101</v>
      </c>
      <c r="C22" s="194"/>
      <c r="D22" s="103"/>
      <c r="E22" s="103"/>
      <c r="F22" s="194" t="s">
        <v>102</v>
      </c>
      <c r="G22" s="194"/>
      <c r="H22" s="194"/>
      <c r="I22" s="194"/>
      <c r="J22" s="194"/>
      <c r="K22" s="194"/>
      <c r="L22" s="194" t="s">
        <v>103</v>
      </c>
      <c r="M22" s="194"/>
      <c r="N22" s="103"/>
      <c r="O22" s="103"/>
      <c r="P22" s="194"/>
      <c r="Q22" s="194"/>
      <c r="R22" s="103"/>
      <c r="S22" s="103"/>
      <c r="T22" s="194" t="s">
        <v>104</v>
      </c>
      <c r="U22" s="194"/>
      <c r="V22" s="103"/>
      <c r="W22" s="103"/>
      <c r="X22" s="194" t="s">
        <v>105</v>
      </c>
      <c r="Y22" s="194"/>
      <c r="Z22" s="103"/>
      <c r="AA22" s="103"/>
      <c r="AB22" s="88" t="s">
        <v>106</v>
      </c>
      <c r="AC22" s="88"/>
      <c r="AD22" s="88"/>
      <c r="AE22" s="88"/>
      <c r="AF22" s="88"/>
      <c r="AG22" s="88"/>
    </row>
    <row r="23" spans="1:33" x14ac:dyDescent="0.2">
      <c r="A23" s="96" t="s">
        <v>567</v>
      </c>
      <c r="B23" s="192" t="s">
        <v>81</v>
      </c>
      <c r="C23" s="192"/>
      <c r="D23" s="94" t="s">
        <v>82</v>
      </c>
      <c r="E23" s="92" t="s">
        <v>45</v>
      </c>
      <c r="F23" s="192" t="s">
        <v>107</v>
      </c>
      <c r="G23" s="192"/>
      <c r="H23" s="192" t="s">
        <v>88</v>
      </c>
      <c r="I23" s="192"/>
      <c r="J23" s="191" t="s">
        <v>97</v>
      </c>
      <c r="K23" s="191"/>
      <c r="L23" s="193" t="s">
        <v>90</v>
      </c>
      <c r="M23" s="193"/>
      <c r="N23" s="192" t="s">
        <v>108</v>
      </c>
      <c r="O23" s="192"/>
      <c r="P23" s="193" t="s">
        <v>109</v>
      </c>
      <c r="Q23" s="193"/>
      <c r="R23" s="193" t="s">
        <v>91</v>
      </c>
      <c r="S23" s="193"/>
      <c r="T23" s="192" t="s">
        <v>110</v>
      </c>
      <c r="U23" s="192"/>
      <c r="V23" s="175" t="s">
        <v>69</v>
      </c>
      <c r="W23" s="92" t="s">
        <v>45</v>
      </c>
      <c r="X23" s="192" t="s">
        <v>41</v>
      </c>
      <c r="Y23" s="192"/>
      <c r="Z23" s="191" t="s">
        <v>87</v>
      </c>
      <c r="AA23" s="191"/>
      <c r="AB23" s="88"/>
      <c r="AC23" s="88"/>
      <c r="AD23" s="88"/>
      <c r="AE23" s="88"/>
      <c r="AF23" s="88"/>
      <c r="AG23" s="88"/>
    </row>
    <row r="24" spans="1:33" x14ac:dyDescent="0.2">
      <c r="A24" s="98"/>
      <c r="B24" s="150" t="s">
        <v>111</v>
      </c>
      <c r="C24" s="148"/>
      <c r="D24" s="195"/>
      <c r="E24" s="195"/>
      <c r="F24" s="194" t="s">
        <v>112</v>
      </c>
      <c r="G24" s="194"/>
      <c r="H24" s="97"/>
      <c r="I24" s="97"/>
      <c r="J24" s="148"/>
      <c r="K24" s="97"/>
      <c r="L24" s="97"/>
      <c r="M24" s="97"/>
      <c r="N24" s="103" t="s">
        <v>113</v>
      </c>
      <c r="O24" s="97"/>
      <c r="P24" s="97"/>
      <c r="Q24" s="97"/>
      <c r="R24" s="196"/>
      <c r="S24" s="196"/>
      <c r="T24" s="100" t="s">
        <v>114</v>
      </c>
      <c r="U24" s="97"/>
      <c r="V24" s="97"/>
      <c r="W24" s="97"/>
      <c r="X24" s="197" t="s">
        <v>115</v>
      </c>
      <c r="Y24" s="198"/>
      <c r="Z24" s="97"/>
      <c r="AA24" s="97"/>
      <c r="AB24" s="88"/>
      <c r="AC24" s="88"/>
      <c r="AD24" s="88"/>
      <c r="AE24" s="88"/>
      <c r="AF24" s="88"/>
      <c r="AG24" s="88"/>
    </row>
    <row r="25" spans="1:33" x14ac:dyDescent="0.2">
      <c r="A25" s="96" t="s">
        <v>568</v>
      </c>
      <c r="B25" s="192" t="s">
        <v>41</v>
      </c>
      <c r="C25" s="192"/>
      <c r="D25" s="191" t="s">
        <v>36</v>
      </c>
      <c r="E25" s="191"/>
      <c r="F25" s="193" t="s">
        <v>90</v>
      </c>
      <c r="G25" s="193"/>
      <c r="H25" s="92" t="s">
        <v>45</v>
      </c>
      <c r="I25" s="94" t="s">
        <v>82</v>
      </c>
      <c r="J25" s="92" t="s">
        <v>116</v>
      </c>
      <c r="K25" s="174" t="s">
        <v>81</v>
      </c>
      <c r="L25" s="193" t="s">
        <v>117</v>
      </c>
      <c r="M25" s="193"/>
      <c r="N25" s="192" t="s">
        <v>118</v>
      </c>
      <c r="O25" s="192"/>
      <c r="P25" s="191" t="s">
        <v>87</v>
      </c>
      <c r="Q25" s="191"/>
      <c r="R25" s="192" t="s">
        <v>119</v>
      </c>
      <c r="S25" s="192"/>
      <c r="T25" s="193" t="s">
        <v>98</v>
      </c>
      <c r="U25" s="193"/>
      <c r="V25" s="92" t="s">
        <v>45</v>
      </c>
      <c r="W25" s="94" t="s">
        <v>69</v>
      </c>
      <c r="X25" s="192" t="s">
        <v>120</v>
      </c>
      <c r="Y25" s="192"/>
      <c r="Z25" s="192" t="s">
        <v>41</v>
      </c>
      <c r="AA25" s="192"/>
      <c r="AB25" s="192" t="s">
        <v>85</v>
      </c>
      <c r="AC25" s="192"/>
      <c r="AD25" s="88"/>
      <c r="AE25" s="88"/>
      <c r="AF25" s="88"/>
      <c r="AG25" s="88"/>
    </row>
    <row r="26" spans="1:33" x14ac:dyDescent="0.2">
      <c r="A26" s="98"/>
      <c r="B26" s="196" t="s">
        <v>121</v>
      </c>
      <c r="C26" s="199"/>
      <c r="D26" s="200"/>
      <c r="E26" s="200"/>
      <c r="F26" s="103"/>
      <c r="G26" s="103"/>
      <c r="H26" s="103"/>
      <c r="I26" s="103"/>
      <c r="J26" s="151">
        <v>45961</v>
      </c>
      <c r="K26" s="103" t="s">
        <v>122</v>
      </c>
      <c r="L26" s="200"/>
      <c r="M26" s="200"/>
      <c r="N26" s="200"/>
      <c r="O26" s="200"/>
      <c r="P26" s="103"/>
      <c r="Q26" s="103"/>
      <c r="R26" s="103"/>
      <c r="S26" s="103"/>
      <c r="T26" s="103"/>
      <c r="U26" s="103"/>
      <c r="V26" s="200"/>
      <c r="W26" s="200"/>
      <c r="X26" s="200" t="s">
        <v>123</v>
      </c>
      <c r="Y26" s="200"/>
      <c r="Z26" s="103"/>
      <c r="AA26" s="103" t="s">
        <v>124</v>
      </c>
      <c r="AB26" s="103" t="s">
        <v>124</v>
      </c>
      <c r="AC26" s="88"/>
      <c r="AD26" s="88"/>
      <c r="AE26" s="88"/>
      <c r="AF26" s="88"/>
      <c r="AG26" s="88"/>
    </row>
    <row r="27" spans="1:33" x14ac:dyDescent="0.2">
      <c r="A27" s="96" t="s">
        <v>569</v>
      </c>
      <c r="B27" s="92" t="s">
        <v>45</v>
      </c>
      <c r="C27" s="94" t="s">
        <v>82</v>
      </c>
      <c r="D27" s="192" t="s">
        <v>85</v>
      </c>
      <c r="E27" s="192"/>
      <c r="F27" s="192" t="s">
        <v>125</v>
      </c>
      <c r="G27" s="192"/>
      <c r="H27" s="192" t="s">
        <v>126</v>
      </c>
      <c r="I27" s="192"/>
      <c r="J27" s="193" t="s">
        <v>90</v>
      </c>
      <c r="K27" s="193"/>
      <c r="L27" s="191" t="s">
        <v>36</v>
      </c>
      <c r="M27" s="191"/>
      <c r="N27" s="192" t="s">
        <v>127</v>
      </c>
      <c r="O27" s="192"/>
      <c r="P27" s="192" t="s">
        <v>41</v>
      </c>
      <c r="Q27" s="192"/>
      <c r="R27" s="191" t="s">
        <v>87</v>
      </c>
      <c r="S27" s="191"/>
      <c r="T27" s="193" t="s">
        <v>117</v>
      </c>
      <c r="U27" s="193"/>
      <c r="V27" s="193" t="s">
        <v>128</v>
      </c>
      <c r="W27" s="193"/>
      <c r="X27" s="175" t="s">
        <v>69</v>
      </c>
      <c r="Y27" s="92" t="s">
        <v>45</v>
      </c>
      <c r="Z27" s="192" t="s">
        <v>86</v>
      </c>
      <c r="AA27" s="192"/>
      <c r="AB27" s="201"/>
      <c r="AC27" s="201"/>
      <c r="AD27" s="201"/>
      <c r="AE27" s="201"/>
      <c r="AF27" s="201"/>
      <c r="AG27" s="201"/>
    </row>
    <row r="28" spans="1:33" x14ac:dyDescent="0.2">
      <c r="A28" s="98"/>
      <c r="B28" s="104"/>
      <c r="C28" s="148"/>
      <c r="D28" s="197" t="s">
        <v>129</v>
      </c>
      <c r="E28" s="198"/>
      <c r="F28" s="198"/>
      <c r="G28" s="198"/>
      <c r="H28" s="198"/>
      <c r="I28" s="198"/>
      <c r="J28" s="196"/>
      <c r="K28" s="196"/>
      <c r="L28" s="97"/>
      <c r="M28" s="97"/>
      <c r="N28" s="97"/>
      <c r="O28" s="97"/>
      <c r="P28" s="103" t="s">
        <v>130</v>
      </c>
      <c r="Q28" s="97"/>
      <c r="R28" s="97"/>
      <c r="S28" s="97"/>
      <c r="T28" s="97"/>
      <c r="U28" s="97"/>
      <c r="V28" s="97"/>
      <c r="W28" s="97"/>
      <c r="X28" s="97"/>
      <c r="Y28" s="97"/>
      <c r="Z28" s="103" t="s">
        <v>131</v>
      </c>
      <c r="AA28" s="97"/>
      <c r="AB28" s="88"/>
      <c r="AC28" s="88"/>
      <c r="AD28" s="88"/>
      <c r="AE28" s="88"/>
      <c r="AF28" s="88"/>
      <c r="AG28" s="88"/>
    </row>
    <row r="29" spans="1:33" x14ac:dyDescent="0.2">
      <c r="A29" s="96" t="s">
        <v>570</v>
      </c>
      <c r="B29" s="174" t="s">
        <v>132</v>
      </c>
      <c r="C29" s="92" t="s">
        <v>45</v>
      </c>
      <c r="D29" s="175" t="s">
        <v>69</v>
      </c>
      <c r="E29" s="168" t="s">
        <v>133</v>
      </c>
      <c r="F29" s="191" t="s">
        <v>97</v>
      </c>
      <c r="G29" s="191"/>
      <c r="H29" s="193" t="s">
        <v>134</v>
      </c>
      <c r="I29" s="193"/>
      <c r="J29" s="92" t="s">
        <v>135</v>
      </c>
      <c r="K29" s="175" t="s">
        <v>117</v>
      </c>
      <c r="L29" s="192" t="s">
        <v>81</v>
      </c>
      <c r="M29" s="192"/>
      <c r="N29" s="192" t="s">
        <v>136</v>
      </c>
      <c r="O29" s="192"/>
      <c r="P29" s="193" t="s">
        <v>90</v>
      </c>
      <c r="Q29" s="193"/>
      <c r="R29" s="192" t="s">
        <v>83</v>
      </c>
      <c r="S29" s="192"/>
      <c r="T29" s="192" t="s">
        <v>85</v>
      </c>
      <c r="U29" s="192"/>
      <c r="V29" s="192" t="s">
        <v>41</v>
      </c>
      <c r="W29" s="192"/>
      <c r="X29" s="92" t="s">
        <v>45</v>
      </c>
      <c r="Y29" s="94" t="s">
        <v>137</v>
      </c>
      <c r="Z29" s="191" t="s">
        <v>87</v>
      </c>
      <c r="AA29" s="191"/>
      <c r="AB29" s="192" t="s">
        <v>119</v>
      </c>
      <c r="AC29" s="192"/>
      <c r="AD29" s="185" t="s">
        <v>59</v>
      </c>
      <c r="AE29" s="185"/>
      <c r="AF29" s="88"/>
      <c r="AG29" s="88"/>
    </row>
    <row r="30" spans="1:33" x14ac:dyDescent="0.2">
      <c r="A30" s="104"/>
      <c r="B30" s="202" t="s">
        <v>138</v>
      </c>
      <c r="C30" s="202"/>
      <c r="D30" s="148"/>
      <c r="E30" s="148"/>
      <c r="F30" s="148"/>
      <c r="G30" s="104"/>
      <c r="H30" s="100"/>
      <c r="I30" s="97"/>
      <c r="J30" s="97"/>
      <c r="K30" s="97"/>
      <c r="L30" s="148" t="s">
        <v>56</v>
      </c>
      <c r="M30" s="97"/>
      <c r="N30" s="100" t="s">
        <v>139</v>
      </c>
      <c r="O30" s="97"/>
      <c r="P30" s="97"/>
      <c r="Q30" s="100"/>
      <c r="R30" s="100" t="s">
        <v>140</v>
      </c>
      <c r="S30" s="100"/>
      <c r="T30" s="100" t="s">
        <v>141</v>
      </c>
      <c r="U30" s="97"/>
      <c r="V30" s="97"/>
      <c r="W30" s="103" t="s">
        <v>142</v>
      </c>
      <c r="X30" s="97"/>
      <c r="Y30" s="100"/>
      <c r="Z30" s="105"/>
      <c r="AA30" s="97"/>
      <c r="AB30" s="88"/>
      <c r="AC30" s="88"/>
      <c r="AD30" s="88"/>
      <c r="AE30" s="88"/>
      <c r="AF30" s="88"/>
      <c r="AG30" s="88"/>
    </row>
    <row r="31" spans="1:33" ht="29" x14ac:dyDescent="0.35">
      <c r="A31" s="104"/>
      <c r="B31" s="88"/>
      <c r="C31" s="88"/>
      <c r="D31" s="88"/>
      <c r="E31" s="88"/>
      <c r="F31" s="88"/>
      <c r="G31" s="88"/>
      <c r="H31" s="89" t="s">
        <v>143</v>
      </c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</row>
    <row r="32" spans="1:33" ht="20" x14ac:dyDescent="0.2">
      <c r="A32" s="85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x14ac:dyDescent="0.2">
      <c r="A33" s="106"/>
      <c r="B33" s="208"/>
      <c r="C33" s="208"/>
      <c r="D33" s="203"/>
      <c r="E33" s="203"/>
      <c r="F33" s="107"/>
      <c r="G33" s="107"/>
      <c r="H33" s="203"/>
      <c r="I33" s="203"/>
      <c r="J33" s="107"/>
      <c r="K33" s="176"/>
      <c r="L33" s="203"/>
      <c r="M33" s="203"/>
      <c r="N33" s="203"/>
      <c r="O33" s="203"/>
      <c r="P33" s="209"/>
      <c r="Q33" s="209"/>
      <c r="R33" s="207"/>
      <c r="S33" s="207"/>
      <c r="T33" s="203"/>
      <c r="U33" s="203"/>
      <c r="V33" s="207"/>
      <c r="W33" s="207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</row>
    <row r="34" spans="1:33" x14ac:dyDescent="0.2">
      <c r="A34" s="104"/>
      <c r="B34" s="204" t="s">
        <v>134</v>
      </c>
      <c r="C34" s="204"/>
      <c r="D34" s="205" t="s">
        <v>90</v>
      </c>
      <c r="E34" s="205"/>
      <c r="F34" s="205" t="s">
        <v>144</v>
      </c>
      <c r="G34" s="205"/>
      <c r="H34" s="108"/>
      <c r="I34" s="108"/>
      <c r="J34" s="177" t="s">
        <v>145</v>
      </c>
      <c r="K34" s="177"/>
      <c r="L34" s="177" t="s">
        <v>146</v>
      </c>
      <c r="M34" s="177"/>
      <c r="N34" s="177" t="s">
        <v>147</v>
      </c>
      <c r="O34" s="177"/>
      <c r="P34" s="177"/>
      <c r="Q34" s="177"/>
      <c r="R34" s="177"/>
      <c r="S34" s="177"/>
      <c r="T34" s="177"/>
      <c r="U34" s="177"/>
      <c r="V34" s="109" t="s">
        <v>148</v>
      </c>
      <c r="W34" s="177"/>
      <c r="X34" s="109" t="s">
        <v>149</v>
      </c>
      <c r="Y34" s="177"/>
      <c r="Z34" s="177"/>
      <c r="AA34" s="177"/>
      <c r="AB34" s="203"/>
      <c r="AC34" s="203"/>
      <c r="AD34" s="203"/>
      <c r="AE34" s="206"/>
      <c r="AF34" s="110"/>
      <c r="AG34" s="176"/>
    </row>
    <row r="35" spans="1:33" x14ac:dyDescent="0.2">
      <c r="A35" s="96" t="s">
        <v>571</v>
      </c>
      <c r="B35" s="192" t="s">
        <v>150</v>
      </c>
      <c r="C35" s="192"/>
      <c r="D35" s="192" t="s">
        <v>151</v>
      </c>
      <c r="E35" s="192"/>
      <c r="F35" s="193" t="s">
        <v>152</v>
      </c>
      <c r="G35" s="193"/>
      <c r="H35" s="192" t="s">
        <v>153</v>
      </c>
      <c r="I35" s="192"/>
      <c r="J35" s="191" t="s">
        <v>36</v>
      </c>
      <c r="K35" s="191"/>
      <c r="L35" s="192" t="s">
        <v>154</v>
      </c>
      <c r="M35" s="192"/>
      <c r="N35" s="175" t="s">
        <v>155</v>
      </c>
      <c r="O35" s="92" t="s">
        <v>45</v>
      </c>
      <c r="P35" s="191" t="s">
        <v>87</v>
      </c>
      <c r="Q35" s="191"/>
      <c r="R35" s="193" t="s">
        <v>156</v>
      </c>
      <c r="S35" s="193"/>
      <c r="T35" s="210" t="s">
        <v>157</v>
      </c>
      <c r="U35" s="210"/>
      <c r="V35" s="209"/>
      <c r="W35" s="209"/>
      <c r="X35" s="203"/>
      <c r="Y35" s="203"/>
      <c r="Z35" s="203"/>
      <c r="AA35" s="203"/>
      <c r="AB35" s="176"/>
      <c r="AC35" s="176"/>
      <c r="AD35" s="176"/>
      <c r="AE35" s="176"/>
      <c r="AF35" s="176"/>
      <c r="AG35" s="176"/>
    </row>
    <row r="36" spans="1:33" x14ac:dyDescent="0.2">
      <c r="A36" s="98"/>
      <c r="B36" s="187" t="s">
        <v>158</v>
      </c>
      <c r="C36" s="187"/>
      <c r="D36" s="205" t="s">
        <v>159</v>
      </c>
      <c r="E36" s="205"/>
      <c r="F36" s="205"/>
      <c r="G36" s="205"/>
      <c r="H36" s="177"/>
      <c r="I36" s="177"/>
      <c r="J36" s="177"/>
      <c r="K36" s="177"/>
      <c r="L36" s="170" t="s">
        <v>160</v>
      </c>
      <c r="M36" s="177"/>
      <c r="N36" s="177">
        <v>2</v>
      </c>
      <c r="O36" s="177"/>
      <c r="P36" s="177" t="s">
        <v>161</v>
      </c>
      <c r="Q36" s="177" t="s">
        <v>162</v>
      </c>
      <c r="R36" s="178"/>
      <c r="S36" s="111"/>
      <c r="T36" s="177"/>
      <c r="U36" s="177"/>
      <c r="V36" s="205" t="s">
        <v>163</v>
      </c>
      <c r="W36" s="205"/>
      <c r="X36" s="211"/>
      <c r="Y36" s="211"/>
      <c r="Z36" s="177"/>
      <c r="AA36" s="177"/>
      <c r="AB36" s="176"/>
      <c r="AC36" s="176"/>
      <c r="AD36" s="176"/>
      <c r="AE36" s="176"/>
      <c r="AF36" s="176"/>
      <c r="AG36" s="176"/>
    </row>
    <row r="37" spans="1:33" x14ac:dyDescent="0.2">
      <c r="A37" s="112" t="s">
        <v>572</v>
      </c>
      <c r="B37" s="192" t="s">
        <v>41</v>
      </c>
      <c r="C37" s="192"/>
      <c r="D37" s="212" t="s">
        <v>153</v>
      </c>
      <c r="E37" s="212"/>
      <c r="F37" s="92" t="s">
        <v>45</v>
      </c>
      <c r="G37" s="175" t="s">
        <v>164</v>
      </c>
      <c r="H37" s="213" t="s">
        <v>154</v>
      </c>
      <c r="I37" s="213"/>
      <c r="J37" s="213" t="s">
        <v>165</v>
      </c>
      <c r="K37" s="213"/>
      <c r="L37" s="191" t="s">
        <v>97</v>
      </c>
      <c r="M37" s="191"/>
      <c r="N37" s="215" t="s">
        <v>157</v>
      </c>
      <c r="O37" s="215"/>
      <c r="P37" s="193" t="s">
        <v>152</v>
      </c>
      <c r="Q37" s="193"/>
      <c r="R37" s="92" t="s">
        <v>45</v>
      </c>
      <c r="S37" s="175" t="s">
        <v>155</v>
      </c>
      <c r="T37" s="92" t="s">
        <v>45</v>
      </c>
      <c r="U37" s="113" t="s">
        <v>166</v>
      </c>
      <c r="V37" s="191" t="s">
        <v>87</v>
      </c>
      <c r="W37" s="191"/>
      <c r="X37" s="212" t="s">
        <v>150</v>
      </c>
      <c r="Y37" s="212"/>
      <c r="Z37" s="193" t="s">
        <v>156</v>
      </c>
      <c r="AA37" s="193"/>
      <c r="AB37" s="214"/>
      <c r="AC37" s="214"/>
      <c r="AD37" s="214"/>
      <c r="AE37" s="214"/>
      <c r="AF37" s="214"/>
      <c r="AG37" s="214"/>
    </row>
    <row r="38" spans="1:33" x14ac:dyDescent="0.2">
      <c r="A38" s="98"/>
      <c r="B38" s="190" t="s">
        <v>167</v>
      </c>
      <c r="C38" s="205"/>
      <c r="D38" s="173" t="s">
        <v>168</v>
      </c>
      <c r="E38" s="177"/>
      <c r="F38" s="177" t="s">
        <v>169</v>
      </c>
      <c r="G38" s="177" t="s">
        <v>170</v>
      </c>
      <c r="H38" s="173" t="s">
        <v>171</v>
      </c>
      <c r="I38" s="177"/>
      <c r="J38" s="177"/>
      <c r="K38" s="177"/>
      <c r="L38" s="177" t="s">
        <v>172</v>
      </c>
      <c r="M38" s="177" t="s">
        <v>173</v>
      </c>
      <c r="N38" s="177"/>
      <c r="O38" s="173"/>
      <c r="P38" s="177"/>
      <c r="Q38" s="177"/>
      <c r="R38" s="177" t="s">
        <v>174</v>
      </c>
      <c r="S38" s="177"/>
      <c r="T38" s="177"/>
      <c r="U38" s="177"/>
      <c r="V38" s="177"/>
      <c r="W38" s="177"/>
      <c r="X38" s="177"/>
      <c r="Y38" s="173" t="s">
        <v>175</v>
      </c>
      <c r="Z38" s="177"/>
      <c r="AA38" s="177"/>
      <c r="AB38" s="203"/>
      <c r="AC38" s="203"/>
      <c r="AD38" s="203"/>
      <c r="AE38" s="203"/>
      <c r="AF38" s="203"/>
      <c r="AG38" s="203"/>
    </row>
    <row r="39" spans="1:33" x14ac:dyDescent="0.2">
      <c r="A39" s="112" t="s">
        <v>573</v>
      </c>
      <c r="B39" s="213" t="s">
        <v>176</v>
      </c>
      <c r="C39" s="213"/>
      <c r="D39" s="192" t="s">
        <v>150</v>
      </c>
      <c r="E39" s="192"/>
      <c r="F39" s="114" t="s">
        <v>177</v>
      </c>
      <c r="G39" s="92" t="s">
        <v>178</v>
      </c>
      <c r="H39" s="193" t="s">
        <v>152</v>
      </c>
      <c r="I39" s="193"/>
      <c r="J39" s="175" t="s">
        <v>164</v>
      </c>
      <c r="K39" s="92" t="s">
        <v>45</v>
      </c>
      <c r="L39" s="210" t="s">
        <v>157</v>
      </c>
      <c r="M39" s="210"/>
      <c r="N39" s="191" t="s">
        <v>97</v>
      </c>
      <c r="O39" s="191"/>
      <c r="P39" s="213" t="s">
        <v>154</v>
      </c>
      <c r="Q39" s="213"/>
      <c r="R39" s="175" t="s">
        <v>155</v>
      </c>
      <c r="S39" s="92" t="s">
        <v>45</v>
      </c>
      <c r="T39" s="192" t="s">
        <v>41</v>
      </c>
      <c r="U39" s="192"/>
      <c r="V39" s="216" t="s">
        <v>179</v>
      </c>
      <c r="W39" s="216"/>
      <c r="X39" s="191" t="s">
        <v>87</v>
      </c>
      <c r="Y39" s="191"/>
      <c r="Z39" s="193" t="s">
        <v>156</v>
      </c>
      <c r="AA39" s="193"/>
      <c r="AB39" s="214"/>
      <c r="AC39" s="214"/>
      <c r="AD39" s="176"/>
      <c r="AE39" s="176"/>
      <c r="AF39" s="176"/>
      <c r="AG39" s="176"/>
    </row>
    <row r="40" spans="1:33" x14ac:dyDescent="0.2">
      <c r="A40" s="98"/>
      <c r="B40" s="217" t="s">
        <v>180</v>
      </c>
      <c r="C40" s="218"/>
      <c r="D40" s="115" t="s">
        <v>181</v>
      </c>
      <c r="E40" s="177"/>
      <c r="F40" s="170" t="s">
        <v>182</v>
      </c>
      <c r="G40" s="177"/>
      <c r="H40" s="205" t="s">
        <v>183</v>
      </c>
      <c r="I40" s="205"/>
      <c r="J40" s="177"/>
      <c r="K40" s="177"/>
      <c r="L40" s="205" t="s">
        <v>184</v>
      </c>
      <c r="M40" s="205"/>
      <c r="N40" s="177"/>
      <c r="O40" s="177"/>
      <c r="P40" s="219" t="s">
        <v>185</v>
      </c>
      <c r="Q40" s="187"/>
      <c r="R40" s="177"/>
      <c r="S40" s="177"/>
      <c r="T40" s="170"/>
      <c r="U40" s="170" t="s">
        <v>186</v>
      </c>
      <c r="V40" s="170" t="s">
        <v>187</v>
      </c>
      <c r="W40" s="177"/>
      <c r="X40" s="177"/>
      <c r="Y40" s="177"/>
      <c r="Z40" s="177"/>
      <c r="AA40" s="177"/>
      <c r="AB40" s="176"/>
      <c r="AC40" s="176"/>
      <c r="AD40" s="203"/>
      <c r="AE40" s="203"/>
      <c r="AF40" s="203"/>
      <c r="AG40" s="176"/>
    </row>
    <row r="41" spans="1:33" x14ac:dyDescent="0.2">
      <c r="A41" s="96" t="s">
        <v>574</v>
      </c>
      <c r="B41" s="192" t="s">
        <v>188</v>
      </c>
      <c r="C41" s="192"/>
      <c r="D41" s="193" t="s">
        <v>189</v>
      </c>
      <c r="E41" s="193"/>
      <c r="F41" s="114" t="s">
        <v>150</v>
      </c>
      <c r="G41" s="92" t="s">
        <v>190</v>
      </c>
      <c r="H41" s="191" t="s">
        <v>97</v>
      </c>
      <c r="I41" s="191"/>
      <c r="J41" s="193" t="s">
        <v>152</v>
      </c>
      <c r="K41" s="193"/>
      <c r="L41" s="92" t="s">
        <v>45</v>
      </c>
      <c r="M41" s="175" t="s">
        <v>164</v>
      </c>
      <c r="N41" s="192" t="s">
        <v>191</v>
      </c>
      <c r="O41" s="192"/>
      <c r="P41" s="92" t="s">
        <v>45</v>
      </c>
      <c r="Q41" s="175" t="s">
        <v>155</v>
      </c>
      <c r="R41" s="216" t="s">
        <v>41</v>
      </c>
      <c r="S41" s="216"/>
      <c r="T41" s="220" t="s">
        <v>87</v>
      </c>
      <c r="U41" s="220"/>
      <c r="V41" s="213" t="s">
        <v>192</v>
      </c>
      <c r="W41" s="213"/>
      <c r="X41" s="193" t="s">
        <v>193</v>
      </c>
      <c r="Y41" s="193"/>
      <c r="Z41" s="193" t="s">
        <v>156</v>
      </c>
      <c r="AA41" s="193"/>
      <c r="AB41" s="221" t="s">
        <v>194</v>
      </c>
      <c r="AC41" s="221"/>
      <c r="AD41" s="203"/>
      <c r="AE41" s="203"/>
      <c r="AF41" s="203"/>
      <c r="AG41" s="203"/>
    </row>
    <row r="42" spans="1:33" x14ac:dyDescent="0.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 t="s">
        <v>195</v>
      </c>
      <c r="O42" s="177"/>
      <c r="P42" s="177" t="s">
        <v>196</v>
      </c>
      <c r="Q42" s="177"/>
      <c r="R42" s="177" t="s">
        <v>197</v>
      </c>
      <c r="S42" s="173" t="s">
        <v>198</v>
      </c>
      <c r="T42" s="177"/>
      <c r="U42" s="177"/>
      <c r="V42" s="177"/>
      <c r="W42" s="177"/>
      <c r="X42" s="177" t="s">
        <v>199</v>
      </c>
      <c r="Y42" s="177"/>
      <c r="Z42" s="177"/>
      <c r="AA42" s="177"/>
      <c r="AB42" s="176"/>
      <c r="AC42" s="176"/>
      <c r="AD42" s="176"/>
      <c r="AE42" s="176"/>
      <c r="AF42" s="176"/>
      <c r="AG42" s="176"/>
    </row>
    <row r="43" spans="1:33" x14ac:dyDescent="0.2">
      <c r="A43" s="96" t="s">
        <v>575</v>
      </c>
      <c r="B43" s="193" t="s">
        <v>200</v>
      </c>
      <c r="C43" s="193"/>
      <c r="D43" s="192" t="s">
        <v>201</v>
      </c>
      <c r="E43" s="192"/>
      <c r="F43" s="191" t="s">
        <v>36</v>
      </c>
      <c r="G43" s="191"/>
      <c r="H43" s="213" t="s">
        <v>202</v>
      </c>
      <c r="I43" s="213"/>
      <c r="J43" s="226" t="s">
        <v>154</v>
      </c>
      <c r="K43" s="226"/>
      <c r="L43" s="192" t="s">
        <v>41</v>
      </c>
      <c r="M43" s="192"/>
      <c r="N43" s="92" t="s">
        <v>45</v>
      </c>
      <c r="O43" s="175" t="s">
        <v>155</v>
      </c>
      <c r="P43" s="175" t="s">
        <v>164</v>
      </c>
      <c r="Q43" s="92" t="s">
        <v>45</v>
      </c>
      <c r="R43" s="191" t="s">
        <v>87</v>
      </c>
      <c r="S43" s="191"/>
      <c r="T43" s="113" t="s">
        <v>203</v>
      </c>
      <c r="U43" s="92" t="s">
        <v>45</v>
      </c>
      <c r="V43" s="215" t="s">
        <v>157</v>
      </c>
      <c r="W43" s="215"/>
      <c r="X43" s="193" t="s">
        <v>152</v>
      </c>
      <c r="Y43" s="193"/>
      <c r="Z43" s="193" t="s">
        <v>156</v>
      </c>
      <c r="AA43" s="193"/>
      <c r="AB43" s="192" t="s">
        <v>204</v>
      </c>
      <c r="AC43" s="192"/>
      <c r="AD43" s="216" t="s">
        <v>150</v>
      </c>
      <c r="AE43" s="216"/>
      <c r="AF43" s="176"/>
      <c r="AG43" s="176"/>
    </row>
    <row r="44" spans="1:33" x14ac:dyDescent="0.2">
      <c r="A44" s="177"/>
      <c r="B44" s="177"/>
      <c r="C44" s="177"/>
      <c r="D44" s="177"/>
      <c r="E44" s="177"/>
      <c r="F44" s="177"/>
      <c r="G44" s="177"/>
      <c r="H44" s="187" t="s">
        <v>205</v>
      </c>
      <c r="I44" s="187"/>
      <c r="J44" s="177"/>
      <c r="K44" s="177"/>
      <c r="L44" s="170" t="s">
        <v>206</v>
      </c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0" t="s">
        <v>207</v>
      </c>
      <c r="X44" s="177"/>
      <c r="Y44" s="177"/>
      <c r="Z44" s="177"/>
      <c r="AA44" s="177"/>
      <c r="AB44" s="176"/>
      <c r="AC44" s="176"/>
      <c r="AD44" s="203" t="s">
        <v>208</v>
      </c>
      <c r="AE44" s="203"/>
      <c r="AF44" s="176"/>
      <c r="AG44" s="176"/>
    </row>
    <row r="45" spans="1:33" ht="20" x14ac:dyDescent="0.2">
      <c r="A45" s="85"/>
      <c r="B45" s="227"/>
      <c r="C45" s="227"/>
      <c r="D45" s="228"/>
      <c r="E45" s="228"/>
      <c r="F45" s="227"/>
      <c r="G45" s="227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</row>
    <row r="46" spans="1:33" x14ac:dyDescent="0.2">
      <c r="A46" s="112" t="s">
        <v>576</v>
      </c>
      <c r="B46" s="222" t="s">
        <v>152</v>
      </c>
      <c r="C46" s="222"/>
      <c r="D46" s="223" t="s">
        <v>209</v>
      </c>
      <c r="E46" s="224"/>
      <c r="F46" s="116" t="s">
        <v>155</v>
      </c>
      <c r="G46" s="117" t="s">
        <v>210</v>
      </c>
      <c r="H46" s="225" t="s">
        <v>211</v>
      </c>
      <c r="I46" s="225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</row>
    <row r="47" spans="1:33" x14ac:dyDescent="0.2">
      <c r="A47" s="98"/>
      <c r="B47" s="106"/>
      <c r="C47" s="88"/>
      <c r="D47" s="88"/>
      <c r="E47" s="88"/>
      <c r="F47" s="88"/>
      <c r="G47" s="88"/>
      <c r="H47" s="88"/>
      <c r="I47" s="8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</row>
    <row r="48" spans="1:33" x14ac:dyDescent="0.2">
      <c r="A48" s="112" t="s">
        <v>577</v>
      </c>
      <c r="B48" s="222" t="s">
        <v>157</v>
      </c>
      <c r="C48" s="222"/>
      <c r="D48" s="229" t="s">
        <v>212</v>
      </c>
      <c r="E48" s="229"/>
      <c r="F48" s="229" t="s">
        <v>213</v>
      </c>
      <c r="G48" s="229"/>
      <c r="H48" s="88"/>
      <c r="I48" s="8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</row>
    <row r="49" spans="1:33" x14ac:dyDescent="0.2">
      <c r="A49" s="98"/>
      <c r="B49" s="201"/>
      <c r="C49" s="201"/>
      <c r="D49" s="231" t="s">
        <v>214</v>
      </c>
      <c r="E49" s="231"/>
      <c r="F49" s="88"/>
      <c r="G49" s="88"/>
      <c r="H49" s="88"/>
      <c r="I49" s="8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</row>
    <row r="50" spans="1:33" x14ac:dyDescent="0.2">
      <c r="A50" s="112" t="s">
        <v>578</v>
      </c>
      <c r="B50" s="119" t="s">
        <v>209</v>
      </c>
      <c r="C50" s="119"/>
      <c r="D50" s="223" t="s">
        <v>215</v>
      </c>
      <c r="E50" s="223"/>
      <c r="F50" s="201"/>
      <c r="G50" s="201"/>
      <c r="H50" s="88"/>
      <c r="I50" s="8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</row>
    <row r="51" spans="1:33" x14ac:dyDescent="0.2">
      <c r="A51" s="98"/>
      <c r="B51" s="120"/>
      <c r="C51" s="120"/>
      <c r="D51" s="120"/>
      <c r="E51" s="120"/>
      <c r="F51" s="88"/>
      <c r="G51" s="88"/>
      <c r="H51" s="88"/>
      <c r="I51" s="8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</row>
    <row r="52" spans="1:33" x14ac:dyDescent="0.2">
      <c r="A52" s="112" t="s">
        <v>579</v>
      </c>
      <c r="B52" s="229" t="s">
        <v>216</v>
      </c>
      <c r="C52" s="229"/>
      <c r="D52" s="88"/>
      <c r="E52" s="88"/>
      <c r="F52" s="88"/>
      <c r="G52" s="88"/>
      <c r="H52" s="88"/>
      <c r="I52" s="8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</row>
    <row r="53" spans="1:33" x14ac:dyDescent="0.2">
      <c r="A53" s="121"/>
      <c r="B53" s="122" t="s">
        <v>217</v>
      </c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</row>
    <row r="54" spans="1:33" x14ac:dyDescent="0.2">
      <c r="A54" s="112" t="s">
        <v>580</v>
      </c>
      <c r="B54" s="229" t="s">
        <v>218</v>
      </c>
      <c r="C54" s="229"/>
    </row>
    <row r="55" spans="1:33" x14ac:dyDescent="0.2">
      <c r="B55" t="s">
        <v>219</v>
      </c>
    </row>
    <row r="58" spans="1:33" x14ac:dyDescent="0.2">
      <c r="A58" s="123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88"/>
    </row>
    <row r="59" spans="1:33" x14ac:dyDescent="0.2">
      <c r="A59" s="124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3"/>
      <c r="U59" s="233"/>
      <c r="V59" s="232"/>
      <c r="W59" s="232"/>
      <c r="X59" s="232"/>
      <c r="Y59" s="232"/>
      <c r="Z59" s="232"/>
      <c r="AA59" s="232"/>
      <c r="AB59" s="88"/>
    </row>
    <row r="60" spans="1:33" x14ac:dyDescent="0.2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7"/>
      <c r="S60" s="127"/>
      <c r="T60" s="126"/>
      <c r="U60" s="126"/>
      <c r="V60" s="126"/>
      <c r="W60" s="126"/>
      <c r="X60" s="126"/>
      <c r="Y60" s="126"/>
      <c r="Z60" s="128"/>
      <c r="AA60" s="129"/>
      <c r="AB60" s="88"/>
    </row>
    <row r="61" spans="1:33" x14ac:dyDescent="0.2">
      <c r="A61" s="130"/>
      <c r="B61" s="129"/>
      <c r="C61" s="131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6"/>
      <c r="R61" s="235"/>
      <c r="S61" s="236"/>
      <c r="T61" s="235"/>
      <c r="U61" s="235"/>
      <c r="V61" s="126"/>
      <c r="W61" s="126"/>
      <c r="X61" s="237"/>
      <c r="Y61" s="238"/>
      <c r="Z61" s="129"/>
      <c r="AA61" s="126"/>
      <c r="AB61" s="88"/>
    </row>
    <row r="62" spans="1:33" x14ac:dyDescent="0.2">
      <c r="A62" s="125"/>
      <c r="B62" s="234"/>
      <c r="C62" s="234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131"/>
      <c r="Y62" s="128"/>
      <c r="Z62" s="235"/>
      <c r="AA62" s="235"/>
      <c r="AB62" s="88"/>
    </row>
    <row r="63" spans="1:33" x14ac:dyDescent="0.2">
      <c r="A63" s="125"/>
      <c r="B63" s="239"/>
      <c r="C63" s="242"/>
      <c r="D63" s="237"/>
      <c r="E63" s="242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41"/>
      <c r="Y63" s="241"/>
      <c r="Z63" s="239"/>
      <c r="AA63" s="239"/>
      <c r="AB63" s="88"/>
    </row>
    <row r="64" spans="1:33" x14ac:dyDescent="0.2">
      <c r="A64" s="88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40"/>
      <c r="AB64" s="88"/>
    </row>
    <row r="65" spans="1:28" x14ac:dyDescent="0.2">
      <c r="A65" s="132"/>
      <c r="B65" s="243"/>
      <c r="C65" s="243"/>
      <c r="D65" s="243"/>
      <c r="E65" s="243"/>
      <c r="F65" s="244"/>
      <c r="G65" s="244"/>
      <c r="H65" s="243"/>
      <c r="I65" s="243"/>
      <c r="J65" s="245"/>
      <c r="K65" s="245"/>
      <c r="L65" s="244"/>
      <c r="M65" s="244"/>
      <c r="N65" s="244"/>
      <c r="O65" s="244"/>
      <c r="P65" s="244"/>
      <c r="Q65" s="244"/>
      <c r="R65" s="245"/>
      <c r="S65" s="245"/>
      <c r="T65" s="244"/>
      <c r="U65" s="244"/>
      <c r="V65" s="244"/>
      <c r="W65" s="244"/>
      <c r="X65" s="245"/>
      <c r="Y65" s="245"/>
      <c r="Z65" s="245"/>
      <c r="AA65" s="245"/>
      <c r="AB65" s="88"/>
    </row>
    <row r="66" spans="1:28" x14ac:dyDescent="0.2">
      <c r="A66" s="132"/>
      <c r="B66" s="244"/>
      <c r="C66" s="244"/>
      <c r="D66" s="248"/>
      <c r="E66" s="248"/>
      <c r="F66" s="248"/>
      <c r="G66" s="248"/>
      <c r="H66" s="248"/>
      <c r="I66" s="248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88"/>
    </row>
    <row r="67" spans="1:28" x14ac:dyDescent="0.2">
      <c r="A67" s="132"/>
      <c r="B67" s="246"/>
      <c r="C67" s="246"/>
      <c r="D67" s="247"/>
      <c r="E67" s="247"/>
      <c r="F67" s="247"/>
      <c r="G67" s="247"/>
      <c r="H67" s="247"/>
      <c r="I67" s="247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7"/>
      <c r="U67" s="247"/>
      <c r="V67" s="246"/>
      <c r="W67" s="246"/>
      <c r="X67" s="246"/>
      <c r="Y67" s="246"/>
      <c r="Z67" s="246"/>
      <c r="AA67" s="246"/>
      <c r="AB67" s="88"/>
    </row>
    <row r="68" spans="1:28" x14ac:dyDescent="0.2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</row>
    <row r="69" spans="1:28" x14ac:dyDescent="0.2">
      <c r="A69" s="133"/>
      <c r="B69" s="134"/>
      <c r="C69" s="134"/>
      <c r="D69" s="134"/>
      <c r="E69" s="134"/>
      <c r="F69" s="134"/>
      <c r="G69" s="250"/>
      <c r="H69" s="251"/>
      <c r="I69" s="134"/>
      <c r="J69" s="250"/>
      <c r="K69" s="252"/>
      <c r="L69" s="251"/>
      <c r="M69" s="134"/>
      <c r="N69" s="134"/>
      <c r="O69" s="250"/>
      <c r="P69" s="251"/>
      <c r="Q69" s="134"/>
      <c r="R69" s="134"/>
      <c r="S69" s="250"/>
      <c r="T69" s="251"/>
      <c r="U69" s="134"/>
      <c r="V69" s="134"/>
      <c r="W69" s="250"/>
      <c r="X69" s="251"/>
      <c r="Y69" s="134"/>
      <c r="Z69" s="134"/>
      <c r="AA69" s="134"/>
      <c r="AB69" s="88"/>
    </row>
    <row r="70" spans="1:28" x14ac:dyDescent="0.2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88"/>
    </row>
    <row r="71" spans="1:28" x14ac:dyDescent="0.2">
      <c r="A71" s="135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88"/>
    </row>
    <row r="72" spans="1:28" x14ac:dyDescent="0.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88"/>
    </row>
    <row r="73" spans="1:28" x14ac:dyDescent="0.2">
      <c r="A73" s="137"/>
      <c r="B73" s="138"/>
      <c r="C73" s="138"/>
      <c r="D73" s="138"/>
      <c r="E73" s="138"/>
      <c r="F73" s="139"/>
      <c r="G73" s="140"/>
      <c r="H73" s="138"/>
      <c r="I73" s="138"/>
      <c r="J73" s="138"/>
      <c r="K73" s="138"/>
      <c r="L73" s="138"/>
      <c r="M73" s="138"/>
      <c r="N73" s="138"/>
      <c r="O73" s="249"/>
      <c r="P73" s="249"/>
      <c r="Q73" s="249"/>
      <c r="R73" s="249"/>
      <c r="S73" s="138"/>
      <c r="T73" s="249"/>
      <c r="U73" s="249"/>
      <c r="V73" s="249"/>
      <c r="W73" s="249"/>
      <c r="X73" s="138"/>
      <c r="Y73" s="138"/>
      <c r="Z73" s="138"/>
      <c r="AA73" s="138"/>
      <c r="AB73" s="88"/>
    </row>
    <row r="74" spans="1:28" x14ac:dyDescent="0.2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249"/>
      <c r="S74" s="249"/>
      <c r="T74" s="249"/>
      <c r="U74" s="142"/>
      <c r="V74" s="142"/>
      <c r="W74" s="249"/>
      <c r="X74" s="249"/>
      <c r="Y74" s="249"/>
      <c r="Z74" s="249"/>
      <c r="AA74" s="142"/>
      <c r="AB74" s="88"/>
    </row>
    <row r="75" spans="1:28" x14ac:dyDescent="0.2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88"/>
    </row>
    <row r="76" spans="1:28" x14ac:dyDescent="0.2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88"/>
    </row>
    <row r="77" spans="1:28" x14ac:dyDescent="0.2">
      <c r="AB77" s="88"/>
    </row>
    <row r="78" spans="1:28" x14ac:dyDescent="0.2">
      <c r="A78" s="86" t="s">
        <v>0</v>
      </c>
      <c r="B78" s="87" t="s">
        <v>1</v>
      </c>
      <c r="C78" s="87" t="s">
        <v>220</v>
      </c>
      <c r="D78" s="87" t="s">
        <v>2</v>
      </c>
      <c r="E78" s="87" t="s">
        <v>220</v>
      </c>
      <c r="F78" s="87" t="s">
        <v>3</v>
      </c>
      <c r="G78" s="87" t="s">
        <v>220</v>
      </c>
      <c r="H78" s="87" t="s">
        <v>4</v>
      </c>
      <c r="I78" s="87" t="s">
        <v>220</v>
      </c>
      <c r="J78" s="87" t="s">
        <v>5</v>
      </c>
      <c r="K78" s="87" t="s">
        <v>220</v>
      </c>
      <c r="L78" s="87" t="s">
        <v>6</v>
      </c>
      <c r="M78" s="87" t="s">
        <v>220</v>
      </c>
      <c r="N78" s="87" t="s">
        <v>7</v>
      </c>
      <c r="O78" s="87" t="s">
        <v>220</v>
      </c>
      <c r="P78" s="87" t="s">
        <v>8</v>
      </c>
      <c r="Q78" s="87" t="s">
        <v>220</v>
      </c>
      <c r="R78" s="87" t="s">
        <v>9</v>
      </c>
      <c r="S78" s="87" t="s">
        <v>220</v>
      </c>
      <c r="T78" s="87" t="s">
        <v>10</v>
      </c>
      <c r="U78" s="87" t="s">
        <v>220</v>
      </c>
      <c r="V78" s="87" t="s">
        <v>11</v>
      </c>
      <c r="W78" s="87" t="s">
        <v>220</v>
      </c>
      <c r="X78" s="87" t="s">
        <v>12</v>
      </c>
      <c r="Y78" s="87" t="s">
        <v>220</v>
      </c>
      <c r="Z78" s="87" t="s">
        <v>13</v>
      </c>
      <c r="AA78" s="87"/>
      <c r="AB78" s="88"/>
    </row>
    <row r="79" spans="1:28" x14ac:dyDescent="0.2">
      <c r="A79" s="86" t="s">
        <v>17</v>
      </c>
      <c r="B79" s="87" t="s">
        <v>18</v>
      </c>
      <c r="C79" s="87"/>
      <c r="D79" s="87" t="s">
        <v>19</v>
      </c>
      <c r="E79" s="87"/>
      <c r="F79" s="87" t="s">
        <v>20</v>
      </c>
      <c r="G79" s="87"/>
      <c r="H79" s="87" t="s">
        <v>21</v>
      </c>
      <c r="I79" s="87"/>
      <c r="J79" s="87" t="s">
        <v>22</v>
      </c>
      <c r="K79" s="87"/>
      <c r="L79" s="87" t="s">
        <v>23</v>
      </c>
      <c r="M79" s="87"/>
      <c r="N79" s="87" t="s">
        <v>225</v>
      </c>
      <c r="O79" s="87"/>
      <c r="P79" s="87" t="s">
        <v>226</v>
      </c>
      <c r="Q79" s="87"/>
      <c r="R79" s="87" t="s">
        <v>227</v>
      </c>
      <c r="S79" s="87"/>
      <c r="T79" s="87" t="s">
        <v>228</v>
      </c>
      <c r="U79" s="87"/>
      <c r="V79" s="87" t="s">
        <v>229</v>
      </c>
      <c r="W79" s="87"/>
      <c r="X79" s="87" t="s">
        <v>230</v>
      </c>
      <c r="Y79" s="87"/>
      <c r="Z79" s="87" t="s">
        <v>231</v>
      </c>
      <c r="AA79" s="87"/>
    </row>
  </sheetData>
  <mergeCells count="421">
    <mergeCell ref="O73:R73"/>
    <mergeCell ref="T73:W73"/>
    <mergeCell ref="R74:T74"/>
    <mergeCell ref="W74:Z74"/>
    <mergeCell ref="Z67:AA67"/>
    <mergeCell ref="G69:H69"/>
    <mergeCell ref="J69:L69"/>
    <mergeCell ref="O69:P69"/>
    <mergeCell ref="S69:T69"/>
    <mergeCell ref="W69:X69"/>
    <mergeCell ref="N67:O67"/>
    <mergeCell ref="P67:Q67"/>
    <mergeCell ref="R67:S67"/>
    <mergeCell ref="T67:U67"/>
    <mergeCell ref="V67:W67"/>
    <mergeCell ref="X67:Y67"/>
    <mergeCell ref="T66:U66"/>
    <mergeCell ref="V66:W66"/>
    <mergeCell ref="X66:Y66"/>
    <mergeCell ref="Z66:AA66"/>
    <mergeCell ref="B67:C67"/>
    <mergeCell ref="D67:E67"/>
    <mergeCell ref="F67:G67"/>
    <mergeCell ref="H67:I67"/>
    <mergeCell ref="J67:K67"/>
    <mergeCell ref="L67:M67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X64:Y64"/>
    <mergeCell ref="Z64:AA64"/>
    <mergeCell ref="B65:C65"/>
    <mergeCell ref="D65:E65"/>
    <mergeCell ref="F65:G65"/>
    <mergeCell ref="H65:I65"/>
    <mergeCell ref="J65:K65"/>
    <mergeCell ref="L65:M65"/>
    <mergeCell ref="Z65:AA65"/>
    <mergeCell ref="N65:O65"/>
    <mergeCell ref="P65:Q65"/>
    <mergeCell ref="R65:S65"/>
    <mergeCell ref="T65:U65"/>
    <mergeCell ref="V65:W65"/>
    <mergeCell ref="X65:Y65"/>
    <mergeCell ref="Z63:AA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N63:O63"/>
    <mergeCell ref="P63:Q63"/>
    <mergeCell ref="R63:S63"/>
    <mergeCell ref="T63:U63"/>
    <mergeCell ref="V63:W63"/>
    <mergeCell ref="X63:Y63"/>
    <mergeCell ref="B63:C63"/>
    <mergeCell ref="D63:E63"/>
    <mergeCell ref="F63:G63"/>
    <mergeCell ref="H63:I63"/>
    <mergeCell ref="J63:K63"/>
    <mergeCell ref="L63:M63"/>
    <mergeCell ref="T64:U64"/>
    <mergeCell ref="V64:W64"/>
    <mergeCell ref="N62:O62"/>
    <mergeCell ref="P62:Q62"/>
    <mergeCell ref="R62:S62"/>
    <mergeCell ref="T62:U62"/>
    <mergeCell ref="V62:W62"/>
    <mergeCell ref="Z62:AA62"/>
    <mergeCell ref="P61:Q61"/>
    <mergeCell ref="R61:S61"/>
    <mergeCell ref="T61:U61"/>
    <mergeCell ref="X61:Y61"/>
    <mergeCell ref="N61:O61"/>
    <mergeCell ref="B62:C62"/>
    <mergeCell ref="D62:E62"/>
    <mergeCell ref="F62:G62"/>
    <mergeCell ref="H62:I62"/>
    <mergeCell ref="J62:K62"/>
    <mergeCell ref="L62:M62"/>
    <mergeCell ref="D61:E61"/>
    <mergeCell ref="F61:G61"/>
    <mergeCell ref="H61:I61"/>
    <mergeCell ref="J61:K61"/>
    <mergeCell ref="L61:M61"/>
    <mergeCell ref="P59:Q59"/>
    <mergeCell ref="R59:S59"/>
    <mergeCell ref="T59:U59"/>
    <mergeCell ref="V59:W59"/>
    <mergeCell ref="X59:Y59"/>
    <mergeCell ref="Z59:AA59"/>
    <mergeCell ref="V58:W58"/>
    <mergeCell ref="X58:Y58"/>
    <mergeCell ref="Z58:AA58"/>
    <mergeCell ref="P58:Q58"/>
    <mergeCell ref="R58:S58"/>
    <mergeCell ref="T58:U58"/>
    <mergeCell ref="B59:C59"/>
    <mergeCell ref="D59:E59"/>
    <mergeCell ref="F59:G59"/>
    <mergeCell ref="H59:I59"/>
    <mergeCell ref="J59:K59"/>
    <mergeCell ref="L59:M59"/>
    <mergeCell ref="N59:O59"/>
    <mergeCell ref="J58:K58"/>
    <mergeCell ref="L58:M58"/>
    <mergeCell ref="N58:O58"/>
    <mergeCell ref="B52:C52"/>
    <mergeCell ref="B54:C54"/>
    <mergeCell ref="B58:C58"/>
    <mergeCell ref="D58:E58"/>
    <mergeCell ref="F58:G58"/>
    <mergeCell ref="H58:I58"/>
    <mergeCell ref="B48:C48"/>
    <mergeCell ref="D48:E48"/>
    <mergeCell ref="F48:G48"/>
    <mergeCell ref="B49:C49"/>
    <mergeCell ref="D49:E49"/>
    <mergeCell ref="D50:E50"/>
    <mergeCell ref="F50:G50"/>
    <mergeCell ref="B46:C46"/>
    <mergeCell ref="D46:E46"/>
    <mergeCell ref="H46:I46"/>
    <mergeCell ref="R43:S43"/>
    <mergeCell ref="V43:W43"/>
    <mergeCell ref="X43:Y43"/>
    <mergeCell ref="Z43:AA43"/>
    <mergeCell ref="AB43:AC43"/>
    <mergeCell ref="AD43:AE43"/>
    <mergeCell ref="B43:C43"/>
    <mergeCell ref="D43:E43"/>
    <mergeCell ref="F43:G43"/>
    <mergeCell ref="H43:I43"/>
    <mergeCell ref="J43:K43"/>
    <mergeCell ref="L43:M43"/>
    <mergeCell ref="H44:I44"/>
    <mergeCell ref="AD44:AE44"/>
    <mergeCell ref="B45:C45"/>
    <mergeCell ref="D45:E45"/>
    <mergeCell ref="F45:G45"/>
    <mergeCell ref="AD40:AF40"/>
    <mergeCell ref="B41:C41"/>
    <mergeCell ref="D41:E41"/>
    <mergeCell ref="H41:I41"/>
    <mergeCell ref="J41:K41"/>
    <mergeCell ref="N41:O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T39:U39"/>
    <mergeCell ref="V39:W39"/>
    <mergeCell ref="X39:Y39"/>
    <mergeCell ref="Z39:AA39"/>
    <mergeCell ref="AB39:AC39"/>
    <mergeCell ref="B40:C40"/>
    <mergeCell ref="H40:I40"/>
    <mergeCell ref="L40:M40"/>
    <mergeCell ref="P40:Q40"/>
    <mergeCell ref="B39:C39"/>
    <mergeCell ref="D39:E39"/>
    <mergeCell ref="H39:I39"/>
    <mergeCell ref="L39:M39"/>
    <mergeCell ref="N39:O39"/>
    <mergeCell ref="P39:Q39"/>
    <mergeCell ref="AD37:AE37"/>
    <mergeCell ref="AF37:AG37"/>
    <mergeCell ref="B38:C38"/>
    <mergeCell ref="AB38:AC38"/>
    <mergeCell ref="AD38:AE38"/>
    <mergeCell ref="AF38:AG38"/>
    <mergeCell ref="N37:O37"/>
    <mergeCell ref="P37:Q37"/>
    <mergeCell ref="V37:W37"/>
    <mergeCell ref="X37:Y37"/>
    <mergeCell ref="Z37:AA37"/>
    <mergeCell ref="AB37:AC37"/>
    <mergeCell ref="B36:C36"/>
    <mergeCell ref="D36:E36"/>
    <mergeCell ref="F36:G36"/>
    <mergeCell ref="V36:W36"/>
    <mergeCell ref="X36:Y36"/>
    <mergeCell ref="B37:C37"/>
    <mergeCell ref="D37:E37"/>
    <mergeCell ref="H37:I37"/>
    <mergeCell ref="J37:K37"/>
    <mergeCell ref="L37:M37"/>
    <mergeCell ref="P35:Q35"/>
    <mergeCell ref="R35:S35"/>
    <mergeCell ref="T35:U35"/>
    <mergeCell ref="V35:W35"/>
    <mergeCell ref="X35:Y35"/>
    <mergeCell ref="Z35:AA35"/>
    <mergeCell ref="B35:C35"/>
    <mergeCell ref="D35:E35"/>
    <mergeCell ref="F35:G35"/>
    <mergeCell ref="H35:I35"/>
    <mergeCell ref="J35:K35"/>
    <mergeCell ref="L35:M35"/>
    <mergeCell ref="AD33:AE33"/>
    <mergeCell ref="AF33:AG33"/>
    <mergeCell ref="B34:C34"/>
    <mergeCell ref="D34:E34"/>
    <mergeCell ref="F34:G34"/>
    <mergeCell ref="AB34:AC34"/>
    <mergeCell ref="AD34:AE34"/>
    <mergeCell ref="R33:S33"/>
    <mergeCell ref="T33:U33"/>
    <mergeCell ref="V33:W33"/>
    <mergeCell ref="X33:Y33"/>
    <mergeCell ref="Z33:AA33"/>
    <mergeCell ref="AB33:AC33"/>
    <mergeCell ref="B33:C33"/>
    <mergeCell ref="D33:E33"/>
    <mergeCell ref="H33:I33"/>
    <mergeCell ref="L33:M33"/>
    <mergeCell ref="N33:O33"/>
    <mergeCell ref="P33:Q33"/>
    <mergeCell ref="T29:U29"/>
    <mergeCell ref="V29:W29"/>
    <mergeCell ref="Z29:AA29"/>
    <mergeCell ref="AB29:AC29"/>
    <mergeCell ref="AD29:AE29"/>
    <mergeCell ref="B30:C30"/>
    <mergeCell ref="F29:G29"/>
    <mergeCell ref="H29:I29"/>
    <mergeCell ref="L29:M29"/>
    <mergeCell ref="N29:O29"/>
    <mergeCell ref="P29:Q29"/>
    <mergeCell ref="R29:S29"/>
    <mergeCell ref="V27:W27"/>
    <mergeCell ref="Z27:AA27"/>
    <mergeCell ref="AB27:AC27"/>
    <mergeCell ref="AD27:AE27"/>
    <mergeCell ref="AF27:AG27"/>
    <mergeCell ref="D28:I28"/>
    <mergeCell ref="J28:K28"/>
    <mergeCell ref="X26:Y26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R25:S25"/>
    <mergeCell ref="T25:U25"/>
    <mergeCell ref="X25:Y25"/>
    <mergeCell ref="Z25:AA25"/>
    <mergeCell ref="AB25:AC25"/>
    <mergeCell ref="B26:C26"/>
    <mergeCell ref="D26:E26"/>
    <mergeCell ref="L26:M26"/>
    <mergeCell ref="N26:O26"/>
    <mergeCell ref="V26:W26"/>
    <mergeCell ref="B25:C25"/>
    <mergeCell ref="D25:E25"/>
    <mergeCell ref="F25:G25"/>
    <mergeCell ref="L25:M25"/>
    <mergeCell ref="N25:O25"/>
    <mergeCell ref="P25:Q25"/>
    <mergeCell ref="F21:G21"/>
    <mergeCell ref="H21:I21"/>
    <mergeCell ref="J21:K21"/>
    <mergeCell ref="L21:M21"/>
    <mergeCell ref="T23:U23"/>
    <mergeCell ref="X23:Y23"/>
    <mergeCell ref="Z23:AA23"/>
    <mergeCell ref="D24:E24"/>
    <mergeCell ref="F24:G24"/>
    <mergeCell ref="R24:S24"/>
    <mergeCell ref="X24:Y24"/>
    <mergeCell ref="T22:U22"/>
    <mergeCell ref="X22:Y22"/>
    <mergeCell ref="N23:O23"/>
    <mergeCell ref="P23:Q23"/>
    <mergeCell ref="R23:S23"/>
    <mergeCell ref="AB15:AC15"/>
    <mergeCell ref="N21:O21"/>
    <mergeCell ref="P21:Q21"/>
    <mergeCell ref="R21:S21"/>
    <mergeCell ref="T21:U21"/>
    <mergeCell ref="V21:W21"/>
    <mergeCell ref="X21:Y21"/>
    <mergeCell ref="B23:C23"/>
    <mergeCell ref="F23:G23"/>
    <mergeCell ref="H23:I23"/>
    <mergeCell ref="J23:K23"/>
    <mergeCell ref="L23:M23"/>
    <mergeCell ref="V19:W19"/>
    <mergeCell ref="X19:Y19"/>
    <mergeCell ref="Z19:AA19"/>
    <mergeCell ref="AB19:AC19"/>
    <mergeCell ref="B22:C22"/>
    <mergeCell ref="F22:G22"/>
    <mergeCell ref="H22:I22"/>
    <mergeCell ref="J22:K22"/>
    <mergeCell ref="L22:M22"/>
    <mergeCell ref="P22:Q22"/>
    <mergeCell ref="D20:E20"/>
    <mergeCell ref="B21:C21"/>
    <mergeCell ref="Z14:AA14"/>
    <mergeCell ref="B15:C15"/>
    <mergeCell ref="D15:E15"/>
    <mergeCell ref="F15:G15"/>
    <mergeCell ref="H15:I15"/>
    <mergeCell ref="J15:K15"/>
    <mergeCell ref="L15:M15"/>
    <mergeCell ref="N15:O15"/>
    <mergeCell ref="P15:Q15"/>
    <mergeCell ref="T15:U15"/>
    <mergeCell ref="X15:Y15"/>
    <mergeCell ref="Z15:AA15"/>
    <mergeCell ref="T13:U13"/>
    <mergeCell ref="F14:G14"/>
    <mergeCell ref="J14:K14"/>
    <mergeCell ref="L14:M14"/>
    <mergeCell ref="N14:O14"/>
    <mergeCell ref="T14:U14"/>
    <mergeCell ref="H16:I16"/>
    <mergeCell ref="N16:O16"/>
    <mergeCell ref="B19:C19"/>
    <mergeCell ref="F19:G19"/>
    <mergeCell ref="J19:K19"/>
    <mergeCell ref="N19:O19"/>
    <mergeCell ref="P19:Q19"/>
    <mergeCell ref="R19:S19"/>
    <mergeCell ref="T19:U19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AB11:AC11"/>
    <mergeCell ref="B11:C11"/>
    <mergeCell ref="D11:E11"/>
    <mergeCell ref="F11:G11"/>
    <mergeCell ref="H11:I11"/>
    <mergeCell ref="J11:K11"/>
    <mergeCell ref="L11:M11"/>
    <mergeCell ref="F12:G12"/>
    <mergeCell ref="H12:I12"/>
    <mergeCell ref="N12:O12"/>
    <mergeCell ref="Z12:AA12"/>
    <mergeCell ref="D10:E10"/>
    <mergeCell ref="J10:K10"/>
    <mergeCell ref="P10:Q10"/>
    <mergeCell ref="V10:W10"/>
    <mergeCell ref="N11:O11"/>
    <mergeCell ref="P11:Q11"/>
    <mergeCell ref="R11:S11"/>
    <mergeCell ref="V11:W11"/>
    <mergeCell ref="Z11:AA11"/>
    <mergeCell ref="B9:C9"/>
    <mergeCell ref="D9:E9"/>
    <mergeCell ref="F9:G9"/>
    <mergeCell ref="H9:I9"/>
    <mergeCell ref="J9:K9"/>
    <mergeCell ref="L9:M9"/>
    <mergeCell ref="V7:W7"/>
    <mergeCell ref="Z7:AA7"/>
    <mergeCell ref="F8:G8"/>
    <mergeCell ref="J8:K8"/>
    <mergeCell ref="L8:M8"/>
    <mergeCell ref="R8:S8"/>
    <mergeCell ref="N9:O9"/>
    <mergeCell ref="P9:Q9"/>
    <mergeCell ref="T9:U9"/>
    <mergeCell ref="V9:W9"/>
    <mergeCell ref="X9:Y9"/>
    <mergeCell ref="H6:I6"/>
    <mergeCell ref="N6:O6"/>
    <mergeCell ref="P6:Q6"/>
    <mergeCell ref="V6:W6"/>
    <mergeCell ref="X6:Y6"/>
    <mergeCell ref="Z6:AA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AB1:AC1"/>
    <mergeCell ref="AD1:AE1"/>
    <mergeCell ref="AF1:AG1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B5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BC4-745E-46A4-983A-9EB75C300232}">
  <dimension ref="A1:BW144"/>
  <sheetViews>
    <sheetView workbookViewId="0">
      <pane xSplit="5" ySplit="6" topLeftCell="F75" activePane="bottomRight" state="frozen"/>
      <selection pane="topRight"/>
      <selection pane="bottomLeft"/>
      <selection pane="bottomRight" activeCell="BJ4" sqref="BJ4"/>
    </sheetView>
  </sheetViews>
  <sheetFormatPr baseColWidth="10" defaultColWidth="8.83203125" defaultRowHeight="15" x14ac:dyDescent="0.2"/>
  <cols>
    <col min="2" max="2" width="10.6640625" bestFit="1" customWidth="1"/>
    <col min="4" max="4" width="10.33203125" bestFit="1" customWidth="1"/>
    <col min="5" max="5" width="35.5" bestFit="1" customWidth="1"/>
    <col min="62" max="63" width="9.1640625"/>
    <col min="64" max="64" width="11.5" bestFit="1" customWidth="1"/>
    <col min="65" max="75" width="9.1640625"/>
  </cols>
  <sheetData>
    <row r="1" spans="1:75" ht="15" customHeight="1" x14ac:dyDescent="0.25">
      <c r="A1" s="162" t="s">
        <v>220</v>
      </c>
      <c r="B1" s="162" t="s">
        <v>220</v>
      </c>
      <c r="C1" s="257">
        <v>9</v>
      </c>
      <c r="D1" s="257"/>
      <c r="E1" s="1" t="s">
        <v>220</v>
      </c>
      <c r="F1" s="259" t="s">
        <v>232</v>
      </c>
      <c r="G1" s="260"/>
      <c r="H1" s="253" t="s">
        <v>233</v>
      </c>
      <c r="I1" s="254"/>
      <c r="J1" s="255" t="s">
        <v>234</v>
      </c>
      <c r="K1" s="256"/>
      <c r="L1" s="255" t="s">
        <v>235</v>
      </c>
      <c r="M1" s="256"/>
      <c r="N1" s="253" t="s">
        <v>236</v>
      </c>
      <c r="O1" s="254"/>
      <c r="P1" s="268" t="s">
        <v>237</v>
      </c>
      <c r="Q1" s="260"/>
      <c r="R1" s="253" t="s">
        <v>238</v>
      </c>
      <c r="S1" s="254"/>
      <c r="T1" s="268" t="s">
        <v>232</v>
      </c>
      <c r="U1" s="260"/>
      <c r="V1" s="253" t="s">
        <v>233</v>
      </c>
      <c r="W1" s="254"/>
      <c r="X1" s="255" t="s">
        <v>234</v>
      </c>
      <c r="Y1" s="256"/>
      <c r="Z1" s="255" t="s">
        <v>235</v>
      </c>
      <c r="AA1" s="256"/>
      <c r="AB1" s="253" t="s">
        <v>236</v>
      </c>
      <c r="AC1" s="254"/>
      <c r="AD1" s="268" t="s">
        <v>237</v>
      </c>
      <c r="AE1" s="260"/>
      <c r="AF1" s="253" t="s">
        <v>238</v>
      </c>
      <c r="AG1" s="254"/>
      <c r="AH1" s="268" t="s">
        <v>232</v>
      </c>
      <c r="AI1" s="260"/>
      <c r="AJ1" s="253" t="s">
        <v>233</v>
      </c>
      <c r="AK1" s="254"/>
      <c r="AL1" s="255" t="s">
        <v>234</v>
      </c>
      <c r="AM1" s="256"/>
      <c r="AN1" s="255" t="s">
        <v>235</v>
      </c>
      <c r="AO1" s="256"/>
      <c r="AP1" s="253" t="s">
        <v>236</v>
      </c>
      <c r="AQ1" s="254"/>
      <c r="AR1" s="268" t="s">
        <v>237</v>
      </c>
      <c r="AS1" s="260"/>
      <c r="AT1" s="253" t="s">
        <v>238</v>
      </c>
      <c r="AU1" s="254"/>
      <c r="AV1" s="268" t="s">
        <v>232</v>
      </c>
      <c r="AW1" s="260"/>
      <c r="AX1" s="253" t="s">
        <v>233</v>
      </c>
      <c r="AY1" s="254"/>
      <c r="AZ1" s="255" t="s">
        <v>234</v>
      </c>
      <c r="BA1" s="256"/>
      <c r="BB1" s="255" t="s">
        <v>235</v>
      </c>
      <c r="BC1" s="256"/>
      <c r="BD1" s="253" t="s">
        <v>236</v>
      </c>
      <c r="BE1" s="254"/>
      <c r="BF1" s="268" t="s">
        <v>237</v>
      </c>
      <c r="BG1" s="260"/>
      <c r="BH1" s="253" t="s">
        <v>238</v>
      </c>
      <c r="BI1" s="254"/>
      <c r="BJ1" s="2" t="s">
        <v>220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 ht="15" customHeight="1" x14ac:dyDescent="0.25">
      <c r="A2" s="162" t="s">
        <v>220</v>
      </c>
      <c r="B2" s="162" t="s">
        <v>220</v>
      </c>
      <c r="C2" s="257"/>
      <c r="D2" s="257"/>
      <c r="E2" s="1" t="s">
        <v>220</v>
      </c>
      <c r="F2" s="269" t="s">
        <v>239</v>
      </c>
      <c r="G2" s="254"/>
      <c r="H2" s="253" t="s">
        <v>233</v>
      </c>
      <c r="I2" s="254"/>
      <c r="J2" s="266" t="s">
        <v>234</v>
      </c>
      <c r="K2" s="267"/>
      <c r="L2" s="266" t="s">
        <v>235</v>
      </c>
      <c r="M2" s="267"/>
      <c r="N2" s="266" t="s">
        <v>236</v>
      </c>
      <c r="O2" s="267"/>
      <c r="P2" s="266" t="s">
        <v>237</v>
      </c>
      <c r="Q2" s="267"/>
      <c r="R2" s="266" t="s">
        <v>238</v>
      </c>
      <c r="S2" s="267"/>
      <c r="T2" s="266" t="s">
        <v>232</v>
      </c>
      <c r="U2" s="267"/>
      <c r="V2" s="266" t="s">
        <v>233</v>
      </c>
      <c r="W2" s="267"/>
      <c r="X2" s="266" t="s">
        <v>234</v>
      </c>
      <c r="Y2" s="267"/>
      <c r="Z2" s="266" t="s">
        <v>235</v>
      </c>
      <c r="AA2" s="267"/>
      <c r="AB2" s="266" t="s">
        <v>236</v>
      </c>
      <c r="AC2" s="267"/>
      <c r="AD2" s="266" t="s">
        <v>237</v>
      </c>
      <c r="AE2" s="267"/>
      <c r="AF2" s="266" t="s">
        <v>238</v>
      </c>
      <c r="AG2" s="267"/>
      <c r="AH2" s="266" t="s">
        <v>232</v>
      </c>
      <c r="AI2" s="267"/>
      <c r="AJ2" s="266" t="s">
        <v>233</v>
      </c>
      <c r="AK2" s="267"/>
      <c r="AL2" s="266" t="s">
        <v>234</v>
      </c>
      <c r="AM2" s="267"/>
      <c r="AN2" s="266" t="s">
        <v>235</v>
      </c>
      <c r="AO2" s="267"/>
      <c r="AP2" s="266" t="s">
        <v>236</v>
      </c>
      <c r="AQ2" s="267"/>
      <c r="AR2" s="266" t="s">
        <v>237</v>
      </c>
      <c r="AS2" s="267"/>
      <c r="AT2" s="266" t="s">
        <v>238</v>
      </c>
      <c r="AU2" s="267"/>
      <c r="AV2" s="266" t="s">
        <v>232</v>
      </c>
      <c r="AW2" s="267"/>
      <c r="AX2" s="266" t="s">
        <v>233</v>
      </c>
      <c r="AY2" s="267"/>
      <c r="AZ2" s="266" t="s">
        <v>234</v>
      </c>
      <c r="BA2" s="267"/>
      <c r="BB2" s="266" t="s">
        <v>235</v>
      </c>
      <c r="BC2" s="267"/>
      <c r="BD2" s="266" t="s">
        <v>236</v>
      </c>
      <c r="BE2" s="267"/>
      <c r="BF2" s="266" t="s">
        <v>237</v>
      </c>
      <c r="BG2" s="267"/>
      <c r="BH2" s="266" t="s">
        <v>238</v>
      </c>
      <c r="BI2" s="267"/>
      <c r="BJ2" s="2" t="s">
        <v>220</v>
      </c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ht="20" x14ac:dyDescent="0.2">
      <c r="A3" s="162" t="s">
        <v>220</v>
      </c>
      <c r="B3" s="162" t="s">
        <v>220</v>
      </c>
      <c r="C3" s="258"/>
      <c r="D3" s="258"/>
      <c r="E3" s="3" t="s">
        <v>240</v>
      </c>
      <c r="F3" s="261">
        <v>45700</v>
      </c>
      <c r="G3" s="262"/>
      <c r="H3" s="263">
        <v>45701</v>
      </c>
      <c r="I3" s="262"/>
      <c r="J3" s="264">
        <v>45702</v>
      </c>
      <c r="K3" s="265"/>
      <c r="L3" s="264">
        <v>45703</v>
      </c>
      <c r="M3" s="265"/>
      <c r="N3" s="264">
        <v>45704</v>
      </c>
      <c r="O3" s="265"/>
      <c r="P3" s="264">
        <v>45705</v>
      </c>
      <c r="Q3" s="265"/>
      <c r="R3" s="264">
        <v>45706</v>
      </c>
      <c r="S3" s="265"/>
      <c r="T3" s="264">
        <v>45707</v>
      </c>
      <c r="U3" s="265"/>
      <c r="V3" s="264">
        <v>45708</v>
      </c>
      <c r="W3" s="265"/>
      <c r="X3" s="264">
        <v>45709</v>
      </c>
      <c r="Y3" s="265"/>
      <c r="Z3" s="264">
        <v>45710</v>
      </c>
      <c r="AA3" s="265"/>
      <c r="AB3" s="264">
        <v>45711</v>
      </c>
      <c r="AC3" s="265"/>
      <c r="AD3" s="264">
        <v>45712</v>
      </c>
      <c r="AE3" s="265"/>
      <c r="AF3" s="264">
        <v>45713</v>
      </c>
      <c r="AG3" s="265"/>
      <c r="AH3" s="264">
        <v>45714</v>
      </c>
      <c r="AI3" s="265"/>
      <c r="AJ3" s="264">
        <v>45715</v>
      </c>
      <c r="AK3" s="265"/>
      <c r="AL3" s="264">
        <v>45716</v>
      </c>
      <c r="AM3" s="265"/>
      <c r="AN3" s="264">
        <v>45717</v>
      </c>
      <c r="AO3" s="265"/>
      <c r="AP3" s="264">
        <v>45718</v>
      </c>
      <c r="AQ3" s="265"/>
      <c r="AR3" s="264">
        <v>45719</v>
      </c>
      <c r="AS3" s="265"/>
      <c r="AT3" s="264">
        <v>45720</v>
      </c>
      <c r="AU3" s="265"/>
      <c r="AV3" s="264">
        <v>45721</v>
      </c>
      <c r="AW3" s="265"/>
      <c r="AX3" s="264">
        <v>45722</v>
      </c>
      <c r="AY3" s="265"/>
      <c r="AZ3" s="264">
        <v>45723</v>
      </c>
      <c r="BA3" s="265"/>
      <c r="BB3" s="264">
        <v>45724</v>
      </c>
      <c r="BC3" s="265"/>
      <c r="BD3" s="264">
        <v>45725</v>
      </c>
      <c r="BE3" s="265"/>
      <c r="BF3" s="264">
        <v>45726</v>
      </c>
      <c r="BG3" s="265"/>
      <c r="BH3" s="264">
        <v>45727</v>
      </c>
      <c r="BI3" s="265"/>
      <c r="BJ3" s="84" t="s">
        <v>220</v>
      </c>
      <c r="BK3" s="84"/>
      <c r="BL3" s="84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</row>
    <row r="4" spans="1:75" ht="25" x14ac:dyDescent="0.25">
      <c r="A4" s="162" t="s">
        <v>220</v>
      </c>
      <c r="B4" s="162" t="s">
        <v>220</v>
      </c>
      <c r="C4" s="270" t="s">
        <v>374</v>
      </c>
      <c r="D4" s="271"/>
      <c r="E4" s="4" t="s">
        <v>241</v>
      </c>
      <c r="F4" s="283" t="s">
        <v>592</v>
      </c>
      <c r="G4" s="274"/>
      <c r="H4" s="274" t="s">
        <v>593</v>
      </c>
      <c r="I4" s="274"/>
      <c r="J4" s="274" t="s">
        <v>594</v>
      </c>
      <c r="K4" s="274"/>
      <c r="L4" s="274" t="s">
        <v>595</v>
      </c>
      <c r="M4" s="274"/>
      <c r="N4" s="274" t="s">
        <v>581</v>
      </c>
      <c r="O4" s="274"/>
      <c r="P4" s="292" t="s">
        <v>582</v>
      </c>
      <c r="Q4" s="292"/>
      <c r="R4" s="274" t="s">
        <v>583</v>
      </c>
      <c r="S4" s="274"/>
      <c r="T4" s="292" t="s">
        <v>584</v>
      </c>
      <c r="U4" s="292"/>
      <c r="V4" s="274" t="s">
        <v>585</v>
      </c>
      <c r="W4" s="274"/>
      <c r="X4" s="274" t="s">
        <v>585</v>
      </c>
      <c r="Y4" s="274"/>
      <c r="Z4" s="292" t="s">
        <v>106</v>
      </c>
      <c r="AA4" s="292"/>
      <c r="AB4" s="292" t="s">
        <v>586</v>
      </c>
      <c r="AC4" s="292"/>
      <c r="AD4" s="274" t="s">
        <v>587</v>
      </c>
      <c r="AE4" s="274"/>
      <c r="AF4" s="274" t="s">
        <v>393</v>
      </c>
      <c r="AG4" s="274"/>
      <c r="AH4" s="274" t="s">
        <v>588</v>
      </c>
      <c r="AI4" s="274"/>
      <c r="AJ4" s="274" t="s">
        <v>589</v>
      </c>
      <c r="AK4" s="274"/>
      <c r="AL4" s="274" t="s">
        <v>590</v>
      </c>
      <c r="AM4" s="274"/>
      <c r="AN4" s="288" t="s">
        <v>591</v>
      </c>
      <c r="AO4" s="288"/>
      <c r="AP4" s="274" t="s">
        <v>599</v>
      </c>
      <c r="AQ4" s="274"/>
      <c r="AR4" s="274" t="s">
        <v>600</v>
      </c>
      <c r="AS4" s="274"/>
      <c r="AT4" s="274" t="s">
        <v>601</v>
      </c>
      <c r="AU4" s="274"/>
      <c r="AV4" s="274" t="s">
        <v>602</v>
      </c>
      <c r="AW4" s="274"/>
      <c r="AX4" s="274" t="s">
        <v>516</v>
      </c>
      <c r="AY4" s="274"/>
      <c r="AZ4" s="274" t="s">
        <v>243</v>
      </c>
      <c r="BA4" s="274"/>
      <c r="BB4" s="274" t="s">
        <v>603</v>
      </c>
      <c r="BC4" s="274"/>
      <c r="BD4" s="274" t="s">
        <v>604</v>
      </c>
      <c r="BE4" s="274"/>
      <c r="BF4" s="274" t="s">
        <v>605</v>
      </c>
      <c r="BG4" s="274"/>
      <c r="BH4" s="274" t="s">
        <v>606</v>
      </c>
      <c r="BI4" s="280"/>
      <c r="BJ4" s="5" t="s">
        <v>220</v>
      </c>
      <c r="BK4" s="5"/>
      <c r="BL4" s="155"/>
      <c r="BM4" s="6" t="s">
        <v>220</v>
      </c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15" customHeight="1" x14ac:dyDescent="0.2">
      <c r="A5" s="162" t="s">
        <v>220</v>
      </c>
      <c r="B5" s="162" t="s">
        <v>220</v>
      </c>
      <c r="C5" s="272"/>
      <c r="D5" s="273"/>
      <c r="E5" s="7" t="s">
        <v>242</v>
      </c>
      <c r="F5" s="275" t="s">
        <v>220</v>
      </c>
      <c r="G5" s="276"/>
      <c r="H5" s="289" t="s">
        <v>375</v>
      </c>
      <c r="I5" s="291"/>
      <c r="J5" s="289" t="s">
        <v>375</v>
      </c>
      <c r="K5" s="291"/>
      <c r="L5" s="289" t="s">
        <v>375</v>
      </c>
      <c r="M5" s="291"/>
      <c r="N5" s="275" t="s">
        <v>220</v>
      </c>
      <c r="O5" s="278"/>
      <c r="P5" s="275" t="s">
        <v>220</v>
      </c>
      <c r="Q5" s="278"/>
      <c r="R5" s="275" t="s">
        <v>220</v>
      </c>
      <c r="S5" s="278"/>
      <c r="T5" s="275" t="s">
        <v>220</v>
      </c>
      <c r="U5" s="278"/>
      <c r="V5" s="275" t="s">
        <v>220</v>
      </c>
      <c r="W5" s="278"/>
      <c r="X5" s="282" t="s">
        <v>243</v>
      </c>
      <c r="Y5" s="279"/>
      <c r="Z5" s="282" t="s">
        <v>243</v>
      </c>
      <c r="AA5" s="279"/>
      <c r="AB5" s="295" t="s">
        <v>220</v>
      </c>
      <c r="AC5" s="296"/>
      <c r="AD5" s="275" t="s">
        <v>220</v>
      </c>
      <c r="AE5" s="278"/>
      <c r="AF5" s="275" t="s">
        <v>220</v>
      </c>
      <c r="AG5" s="278"/>
      <c r="AH5" s="275" t="s">
        <v>220</v>
      </c>
      <c r="AI5" s="278"/>
      <c r="AJ5" s="289" t="s">
        <v>376</v>
      </c>
      <c r="AK5" s="290"/>
      <c r="AL5" s="277" t="s">
        <v>243</v>
      </c>
      <c r="AM5" s="279"/>
      <c r="AN5" s="277" t="s">
        <v>243</v>
      </c>
      <c r="AO5" s="279"/>
      <c r="AP5" s="275" t="s">
        <v>220</v>
      </c>
      <c r="AQ5" s="278"/>
      <c r="AR5" s="275" t="s">
        <v>220</v>
      </c>
      <c r="AS5" s="278"/>
      <c r="AT5" s="275" t="s">
        <v>220</v>
      </c>
      <c r="AU5" s="278"/>
      <c r="AV5" s="275" t="s">
        <v>220</v>
      </c>
      <c r="AW5" s="278"/>
      <c r="AX5" s="275" t="s">
        <v>220</v>
      </c>
      <c r="AY5" s="278"/>
      <c r="AZ5" s="277" t="s">
        <v>243</v>
      </c>
      <c r="BA5" s="279"/>
      <c r="BB5" s="277" t="s">
        <v>243</v>
      </c>
      <c r="BC5" s="279"/>
      <c r="BD5" s="293" t="s">
        <v>377</v>
      </c>
      <c r="BE5" s="294"/>
      <c r="BF5" s="293" t="s">
        <v>377</v>
      </c>
      <c r="BG5" s="294"/>
      <c r="BH5" s="293" t="s">
        <v>377</v>
      </c>
      <c r="BI5" s="294"/>
      <c r="BJ5" s="8"/>
      <c r="BK5" s="8"/>
      <c r="BL5" s="8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</row>
    <row r="6" spans="1:75" ht="20" x14ac:dyDescent="0.2">
      <c r="A6" s="162" t="s">
        <v>220</v>
      </c>
      <c r="B6" s="162" t="s">
        <v>220</v>
      </c>
      <c r="C6" s="9" t="s">
        <v>244</v>
      </c>
      <c r="D6" s="9" t="s">
        <v>245</v>
      </c>
      <c r="E6" s="10" t="s">
        <v>246</v>
      </c>
      <c r="F6" s="11" t="s">
        <v>220</v>
      </c>
      <c r="G6" s="11" t="s">
        <v>220</v>
      </c>
      <c r="H6" s="11" t="s">
        <v>220</v>
      </c>
      <c r="I6" s="11" t="s">
        <v>220</v>
      </c>
      <c r="J6" s="11" t="s">
        <v>220</v>
      </c>
      <c r="K6" s="11" t="s">
        <v>220</v>
      </c>
      <c r="L6" s="11" t="s">
        <v>220</v>
      </c>
      <c r="M6" s="11" t="s">
        <v>220</v>
      </c>
      <c r="N6" s="11" t="s">
        <v>220</v>
      </c>
      <c r="O6" s="11" t="s">
        <v>220</v>
      </c>
      <c r="P6" s="11" t="s">
        <v>220</v>
      </c>
      <c r="Q6" s="11" t="s">
        <v>220</v>
      </c>
      <c r="R6" s="11" t="s">
        <v>220</v>
      </c>
      <c r="S6" s="11" t="s">
        <v>220</v>
      </c>
      <c r="T6" s="11" t="s">
        <v>220</v>
      </c>
      <c r="U6" s="11" t="s">
        <v>220</v>
      </c>
      <c r="V6" s="11" t="s">
        <v>220</v>
      </c>
      <c r="W6" s="11" t="s">
        <v>220</v>
      </c>
      <c r="X6" s="11" t="s">
        <v>220</v>
      </c>
      <c r="Y6" s="11" t="s">
        <v>220</v>
      </c>
      <c r="Z6" s="11" t="s">
        <v>220</v>
      </c>
      <c r="AA6" s="11" t="s">
        <v>220</v>
      </c>
      <c r="AB6" s="11" t="s">
        <v>220</v>
      </c>
      <c r="AC6" s="11" t="s">
        <v>220</v>
      </c>
      <c r="AD6" s="11" t="s">
        <v>220</v>
      </c>
      <c r="AE6" s="11" t="s">
        <v>220</v>
      </c>
      <c r="AF6" s="11" t="s">
        <v>220</v>
      </c>
      <c r="AG6" s="11" t="s">
        <v>220</v>
      </c>
      <c r="AH6" s="11" t="s">
        <v>220</v>
      </c>
      <c r="AI6" s="11" t="s">
        <v>220</v>
      </c>
      <c r="AJ6" s="11" t="s">
        <v>220</v>
      </c>
      <c r="AK6" s="12" t="s">
        <v>220</v>
      </c>
      <c r="AL6" s="11" t="s">
        <v>220</v>
      </c>
      <c r="AM6" s="11" t="s">
        <v>220</v>
      </c>
      <c r="AN6" s="11" t="s">
        <v>220</v>
      </c>
      <c r="AO6" s="11" t="s">
        <v>220</v>
      </c>
      <c r="AP6" s="11" t="s">
        <v>220</v>
      </c>
      <c r="AQ6" s="11" t="s">
        <v>220</v>
      </c>
      <c r="AR6" s="11" t="s">
        <v>220</v>
      </c>
      <c r="AS6" s="11" t="s">
        <v>220</v>
      </c>
      <c r="AT6" s="11" t="s">
        <v>220</v>
      </c>
      <c r="AU6" s="11" t="s">
        <v>220</v>
      </c>
      <c r="AV6" s="11" t="s">
        <v>220</v>
      </c>
      <c r="AW6" s="12" t="s">
        <v>220</v>
      </c>
      <c r="AX6" s="11" t="s">
        <v>220</v>
      </c>
      <c r="AY6" s="11" t="s">
        <v>220</v>
      </c>
      <c r="AZ6" s="11" t="s">
        <v>220</v>
      </c>
      <c r="BA6" s="11" t="s">
        <v>220</v>
      </c>
      <c r="BB6" s="11" t="s">
        <v>220</v>
      </c>
      <c r="BC6" s="11" t="s">
        <v>220</v>
      </c>
      <c r="BD6" s="11" t="s">
        <v>220</v>
      </c>
      <c r="BE6" s="11" t="s">
        <v>220</v>
      </c>
      <c r="BF6" s="11" t="s">
        <v>220</v>
      </c>
      <c r="BG6" s="11" t="s">
        <v>220</v>
      </c>
      <c r="BH6" s="13" t="s">
        <v>220</v>
      </c>
      <c r="BI6" s="14" t="s">
        <v>220</v>
      </c>
      <c r="BJ6" s="152" t="s">
        <v>220</v>
      </c>
      <c r="BK6" s="152"/>
      <c r="BL6" s="152"/>
      <c r="BM6" s="155"/>
      <c r="BN6" s="155"/>
      <c r="BO6" s="155"/>
      <c r="BP6" s="155"/>
      <c r="BQ6" s="155"/>
      <c r="BR6" s="155"/>
      <c r="BS6" s="155"/>
      <c r="BT6" s="152"/>
      <c r="BU6" s="152"/>
      <c r="BV6" s="152"/>
      <c r="BW6" s="152"/>
    </row>
    <row r="7" spans="1:75" ht="20" x14ac:dyDescent="0.2">
      <c r="A7" s="162" t="s">
        <v>220</v>
      </c>
      <c r="B7" s="162" t="s">
        <v>220</v>
      </c>
      <c r="C7" s="16" t="s">
        <v>220</v>
      </c>
      <c r="D7" s="17" t="s">
        <v>220</v>
      </c>
      <c r="E7" s="16" t="s">
        <v>220</v>
      </c>
      <c r="F7" s="18" t="s">
        <v>220</v>
      </c>
      <c r="G7" s="18" t="s">
        <v>220</v>
      </c>
      <c r="H7" s="18" t="s">
        <v>220</v>
      </c>
      <c r="I7" s="18" t="s">
        <v>220</v>
      </c>
      <c r="J7" s="18" t="s">
        <v>220</v>
      </c>
      <c r="K7" s="18" t="s">
        <v>220</v>
      </c>
      <c r="L7" s="18" t="s">
        <v>220</v>
      </c>
      <c r="M7" s="18" t="s">
        <v>220</v>
      </c>
      <c r="N7" s="18" t="s">
        <v>220</v>
      </c>
      <c r="O7" s="18" t="s">
        <v>220</v>
      </c>
      <c r="P7" s="18" t="s">
        <v>220</v>
      </c>
      <c r="Q7" s="18" t="s">
        <v>220</v>
      </c>
      <c r="R7" s="18" t="s">
        <v>220</v>
      </c>
      <c r="S7" s="18" t="s">
        <v>220</v>
      </c>
      <c r="T7" s="18" t="s">
        <v>220</v>
      </c>
      <c r="U7" s="18" t="s">
        <v>220</v>
      </c>
      <c r="V7" s="18" t="s">
        <v>220</v>
      </c>
      <c r="W7" s="18" t="s">
        <v>220</v>
      </c>
      <c r="X7" s="18" t="s">
        <v>220</v>
      </c>
      <c r="Y7" s="18" t="s">
        <v>220</v>
      </c>
      <c r="Z7" s="18" t="s">
        <v>220</v>
      </c>
      <c r="AA7" s="18" t="s">
        <v>220</v>
      </c>
      <c r="AB7" s="18" t="s">
        <v>220</v>
      </c>
      <c r="AC7" s="18" t="s">
        <v>220</v>
      </c>
      <c r="AD7" s="18" t="s">
        <v>220</v>
      </c>
      <c r="AE7" s="18" t="s">
        <v>220</v>
      </c>
      <c r="AF7" s="18" t="s">
        <v>220</v>
      </c>
      <c r="AG7" s="18" t="s">
        <v>220</v>
      </c>
      <c r="AH7" s="18" t="s">
        <v>220</v>
      </c>
      <c r="AI7" s="18" t="s">
        <v>220</v>
      </c>
      <c r="AJ7" s="18" t="s">
        <v>220</v>
      </c>
      <c r="AK7" s="18" t="s">
        <v>220</v>
      </c>
      <c r="AL7" s="18" t="s">
        <v>220</v>
      </c>
      <c r="AM7" s="18" t="s">
        <v>220</v>
      </c>
      <c r="AN7" s="18" t="s">
        <v>220</v>
      </c>
      <c r="AO7" s="18" t="s">
        <v>220</v>
      </c>
      <c r="AP7" s="18" t="s">
        <v>220</v>
      </c>
      <c r="AQ7" s="18" t="s">
        <v>220</v>
      </c>
      <c r="AR7" s="18" t="s">
        <v>220</v>
      </c>
      <c r="AS7" s="18" t="s">
        <v>220</v>
      </c>
      <c r="AT7" s="18" t="s">
        <v>220</v>
      </c>
      <c r="AU7" s="18" t="s">
        <v>220</v>
      </c>
      <c r="AV7" s="18" t="s">
        <v>220</v>
      </c>
      <c r="AW7" s="18" t="s">
        <v>220</v>
      </c>
      <c r="AX7" s="18" t="s">
        <v>220</v>
      </c>
      <c r="AY7" s="18" t="s">
        <v>220</v>
      </c>
      <c r="AZ7" s="18" t="s">
        <v>220</v>
      </c>
      <c r="BA7" s="18" t="s">
        <v>220</v>
      </c>
      <c r="BB7" s="18" t="s">
        <v>220</v>
      </c>
      <c r="BC7" s="18" t="s">
        <v>220</v>
      </c>
      <c r="BD7" s="18" t="s">
        <v>220</v>
      </c>
      <c r="BE7" s="18" t="s">
        <v>220</v>
      </c>
      <c r="BF7" s="18" t="s">
        <v>220</v>
      </c>
      <c r="BG7" s="18" t="s">
        <v>220</v>
      </c>
      <c r="BH7" s="19" t="s">
        <v>220</v>
      </c>
      <c r="BI7" s="20" t="s">
        <v>220</v>
      </c>
      <c r="BJ7" s="155" t="s">
        <v>220</v>
      </c>
      <c r="BK7" s="155"/>
      <c r="BL7" s="155"/>
      <c r="BM7" s="84" t="s">
        <v>220</v>
      </c>
      <c r="BN7" s="152"/>
      <c r="BO7" s="152"/>
      <c r="BP7" s="152"/>
      <c r="BQ7" s="152"/>
      <c r="BR7" s="152"/>
      <c r="BS7" s="152"/>
      <c r="BT7" s="152"/>
      <c r="BU7" s="152"/>
      <c r="BV7" s="152"/>
      <c r="BW7" s="152"/>
    </row>
    <row r="8" spans="1:75" ht="21" x14ac:dyDescent="0.25">
      <c r="A8" s="163" t="s">
        <v>220</v>
      </c>
      <c r="B8" s="163" t="s">
        <v>220</v>
      </c>
      <c r="C8" s="21" t="s">
        <v>220</v>
      </c>
      <c r="D8" s="22" t="s">
        <v>220</v>
      </c>
      <c r="E8" s="21" t="s">
        <v>220</v>
      </c>
      <c r="F8" s="18" t="s">
        <v>220</v>
      </c>
      <c r="G8" s="18" t="s">
        <v>220</v>
      </c>
      <c r="H8" s="18" t="s">
        <v>220</v>
      </c>
      <c r="I8" s="18" t="s">
        <v>220</v>
      </c>
      <c r="J8" s="18" t="s">
        <v>220</v>
      </c>
      <c r="K8" s="18" t="s">
        <v>220</v>
      </c>
      <c r="L8" s="18" t="s">
        <v>220</v>
      </c>
      <c r="M8" s="18" t="s">
        <v>220</v>
      </c>
      <c r="N8" s="18" t="s">
        <v>220</v>
      </c>
      <c r="O8" s="18" t="s">
        <v>220</v>
      </c>
      <c r="P8" s="18" t="s">
        <v>220</v>
      </c>
      <c r="Q8" s="18" t="s">
        <v>220</v>
      </c>
      <c r="R8" s="18" t="s">
        <v>220</v>
      </c>
      <c r="S8" s="18" t="s">
        <v>220</v>
      </c>
      <c r="T8" s="18" t="s">
        <v>220</v>
      </c>
      <c r="U8" s="18" t="s">
        <v>220</v>
      </c>
      <c r="V8" s="18" t="s">
        <v>220</v>
      </c>
      <c r="W8" s="18" t="s">
        <v>220</v>
      </c>
      <c r="X8" s="18" t="s">
        <v>220</v>
      </c>
      <c r="Y8" s="18" t="s">
        <v>220</v>
      </c>
      <c r="Z8" s="18" t="s">
        <v>220</v>
      </c>
      <c r="AA8" s="18" t="s">
        <v>220</v>
      </c>
      <c r="AB8" s="18" t="s">
        <v>220</v>
      </c>
      <c r="AC8" s="18" t="s">
        <v>220</v>
      </c>
      <c r="AD8" s="18" t="s">
        <v>220</v>
      </c>
      <c r="AE8" s="18" t="s">
        <v>220</v>
      </c>
      <c r="AF8" s="18" t="s">
        <v>220</v>
      </c>
      <c r="AG8" s="18" t="s">
        <v>220</v>
      </c>
      <c r="AH8" s="18" t="s">
        <v>220</v>
      </c>
      <c r="AI8" s="18" t="s">
        <v>220</v>
      </c>
      <c r="AJ8" s="18" t="s">
        <v>220</v>
      </c>
      <c r="AK8" s="18" t="s">
        <v>220</v>
      </c>
      <c r="AL8" s="18" t="s">
        <v>220</v>
      </c>
      <c r="AM8" s="18" t="s">
        <v>220</v>
      </c>
      <c r="AN8" s="18" t="s">
        <v>220</v>
      </c>
      <c r="AO8" s="18" t="s">
        <v>220</v>
      </c>
      <c r="AP8" s="18" t="s">
        <v>220</v>
      </c>
      <c r="AQ8" s="18" t="s">
        <v>220</v>
      </c>
      <c r="AR8" s="18" t="s">
        <v>220</v>
      </c>
      <c r="AS8" s="18" t="s">
        <v>220</v>
      </c>
      <c r="AT8" s="18" t="s">
        <v>220</v>
      </c>
      <c r="AU8" s="18" t="s">
        <v>220</v>
      </c>
      <c r="AV8" s="18" t="s">
        <v>220</v>
      </c>
      <c r="AW8" s="18" t="s">
        <v>220</v>
      </c>
      <c r="AX8" s="18" t="s">
        <v>220</v>
      </c>
      <c r="AY8" s="18" t="s">
        <v>220</v>
      </c>
      <c r="AZ8" s="18" t="s">
        <v>220</v>
      </c>
      <c r="BA8" s="18" t="s">
        <v>220</v>
      </c>
      <c r="BB8" s="18" t="s">
        <v>220</v>
      </c>
      <c r="BC8" s="18" t="s">
        <v>220</v>
      </c>
      <c r="BD8" s="18" t="s">
        <v>220</v>
      </c>
      <c r="BE8" s="18" t="s">
        <v>220</v>
      </c>
      <c r="BF8" s="18" t="s">
        <v>220</v>
      </c>
      <c r="BG8" s="18" t="s">
        <v>220</v>
      </c>
      <c r="BH8" s="23" t="s">
        <v>220</v>
      </c>
      <c r="BI8" s="24" t="s">
        <v>220</v>
      </c>
      <c r="BJ8" s="157" t="s">
        <v>252</v>
      </c>
      <c r="BK8" s="164" t="s">
        <v>309</v>
      </c>
      <c r="BL8" s="164" t="s">
        <v>369</v>
      </c>
      <c r="BM8" s="160" t="s">
        <v>45</v>
      </c>
      <c r="BN8" s="158" t="s">
        <v>348</v>
      </c>
      <c r="BO8" s="161" t="s">
        <v>365</v>
      </c>
      <c r="BP8" s="144" t="s">
        <v>253</v>
      </c>
      <c r="BQ8" s="144" t="s">
        <v>209</v>
      </c>
      <c r="BR8" s="144"/>
      <c r="BS8" s="83"/>
      <c r="BT8" s="155"/>
      <c r="BU8" s="155"/>
      <c r="BV8" s="152"/>
      <c r="BW8" s="152"/>
    </row>
    <row r="9" spans="1:75" ht="21" x14ac:dyDescent="0.25">
      <c r="A9" s="193" t="s">
        <v>156</v>
      </c>
      <c r="B9" s="193"/>
      <c r="C9" s="82" t="s">
        <v>224</v>
      </c>
      <c r="D9" s="26" t="s">
        <v>247</v>
      </c>
      <c r="E9" s="27" t="s">
        <v>559</v>
      </c>
      <c r="F9" s="167" t="s">
        <v>348</v>
      </c>
      <c r="G9" s="167" t="s">
        <v>317</v>
      </c>
      <c r="H9" s="167" t="s">
        <v>378</v>
      </c>
      <c r="I9" s="167" t="s">
        <v>320</v>
      </c>
      <c r="J9" s="167" t="s">
        <v>243</v>
      </c>
      <c r="K9" s="167" t="s">
        <v>243</v>
      </c>
      <c r="L9" s="167" t="s">
        <v>243</v>
      </c>
      <c r="M9" s="167" t="s">
        <v>243</v>
      </c>
      <c r="N9" s="167" t="s">
        <v>248</v>
      </c>
      <c r="O9" s="167" t="s">
        <v>249</v>
      </c>
      <c r="P9" s="167" t="s">
        <v>310</v>
      </c>
      <c r="Q9" s="167" t="s">
        <v>379</v>
      </c>
      <c r="R9" s="167" t="s">
        <v>310</v>
      </c>
      <c r="S9" s="167" t="s">
        <v>250</v>
      </c>
      <c r="T9" s="167" t="s">
        <v>348</v>
      </c>
      <c r="U9" s="167" t="s">
        <v>379</v>
      </c>
      <c r="V9" s="167" t="s">
        <v>378</v>
      </c>
      <c r="W9" s="167" t="s">
        <v>320</v>
      </c>
      <c r="X9" s="167" t="s">
        <v>243</v>
      </c>
      <c r="Y9" s="167" t="s">
        <v>243</v>
      </c>
      <c r="Z9" s="167" t="s">
        <v>243</v>
      </c>
      <c r="AA9" s="167" t="s">
        <v>243</v>
      </c>
      <c r="AB9" s="167" t="s">
        <v>348</v>
      </c>
      <c r="AC9" s="167" t="s">
        <v>379</v>
      </c>
      <c r="AD9" s="167" t="s">
        <v>348</v>
      </c>
      <c r="AE9" s="167" t="s">
        <v>310</v>
      </c>
      <c r="AF9" s="167" t="s">
        <v>310</v>
      </c>
      <c r="AG9" s="167" t="s">
        <v>269</v>
      </c>
      <c r="AH9" s="167" t="s">
        <v>348</v>
      </c>
      <c r="AI9" s="167" t="s">
        <v>379</v>
      </c>
      <c r="AJ9" s="167" t="s">
        <v>378</v>
      </c>
      <c r="AK9" s="167" t="s">
        <v>320</v>
      </c>
      <c r="AL9" s="167" t="s">
        <v>243</v>
      </c>
      <c r="AM9" s="167" t="s">
        <v>243</v>
      </c>
      <c r="AN9" s="167" t="s">
        <v>243</v>
      </c>
      <c r="AO9" s="167" t="s">
        <v>243</v>
      </c>
      <c r="AP9" s="167" t="s">
        <v>310</v>
      </c>
      <c r="AQ9" s="167" t="s">
        <v>348</v>
      </c>
      <c r="AR9" s="167" t="s">
        <v>81</v>
      </c>
      <c r="AS9" s="167" t="s">
        <v>379</v>
      </c>
      <c r="AT9" s="167" t="s">
        <v>268</v>
      </c>
      <c r="AU9" s="167" t="s">
        <v>272</v>
      </c>
      <c r="AV9" s="167" t="s">
        <v>81</v>
      </c>
      <c r="AW9" s="167" t="s">
        <v>379</v>
      </c>
      <c r="AX9" s="167" t="s">
        <v>378</v>
      </c>
      <c r="AY9" s="167" t="s">
        <v>320</v>
      </c>
      <c r="AZ9" s="167" t="s">
        <v>243</v>
      </c>
      <c r="BA9" s="167" t="s">
        <v>243</v>
      </c>
      <c r="BB9" s="167" t="s">
        <v>243</v>
      </c>
      <c r="BC9" s="167" t="s">
        <v>243</v>
      </c>
      <c r="BD9" s="167" t="s">
        <v>348</v>
      </c>
      <c r="BE9" s="167" t="s">
        <v>310</v>
      </c>
      <c r="BF9" s="167" t="s">
        <v>348</v>
      </c>
      <c r="BG9" s="167" t="s">
        <v>320</v>
      </c>
      <c r="BH9" s="167" t="s">
        <v>250</v>
      </c>
      <c r="BI9" s="167" t="s">
        <v>251</v>
      </c>
      <c r="BJ9" s="144" cm="1">
        <f t="array" ref="BJ9">SUMPRODUCT(COUNTIF(F9:BI9, {"C","C-I","SM"}))</f>
        <v>2</v>
      </c>
      <c r="BK9" s="160">
        <f>COUNTIF(F9:BI9, "CV")</f>
        <v>0</v>
      </c>
      <c r="BL9" s="160">
        <f>BJ9+BK9</f>
        <v>2</v>
      </c>
      <c r="BM9" s="160">
        <f>COUNTIF(F9:BI9, "NF")</f>
        <v>0</v>
      </c>
      <c r="BN9" s="159">
        <f>COUNTIF(F9:BI9, "CC")</f>
        <v>8</v>
      </c>
      <c r="BO9" s="161" cm="1">
        <f t="array" ref="BO9">SUMPRODUCT(COUNTIF(F9:BI9, {"PC","OFF","W"}))</f>
        <v>16</v>
      </c>
      <c r="BP9" s="144">
        <f t="shared" ref="BP9:BP28" si="0">COUNTIF(F9:BI9, "LV")</f>
        <v>0</v>
      </c>
      <c r="BQ9" s="144">
        <f>COUNTIF(F9:BI9, "FMIT")</f>
        <v>0</v>
      </c>
      <c r="BR9" s="144"/>
      <c r="BS9" s="83"/>
      <c r="BT9" s="155"/>
      <c r="BU9" s="155"/>
      <c r="BV9" s="152"/>
      <c r="BW9" s="152"/>
    </row>
    <row r="10" spans="1:75" ht="21" x14ac:dyDescent="0.25">
      <c r="A10" s="92" t="s">
        <v>45</v>
      </c>
      <c r="B10" s="175" t="s">
        <v>155</v>
      </c>
      <c r="C10" s="82" t="s">
        <v>224</v>
      </c>
      <c r="D10" s="26" t="s">
        <v>247</v>
      </c>
      <c r="E10" s="27" t="s">
        <v>560</v>
      </c>
      <c r="F10" s="167" t="s">
        <v>45</v>
      </c>
      <c r="G10" s="167" t="s">
        <v>312</v>
      </c>
      <c r="H10" s="167" t="s">
        <v>45</v>
      </c>
      <c r="I10" s="167" t="s">
        <v>282</v>
      </c>
      <c r="J10" s="167" t="s">
        <v>282</v>
      </c>
      <c r="K10" s="167" t="s">
        <v>45</v>
      </c>
      <c r="L10" s="167" t="s">
        <v>45</v>
      </c>
      <c r="M10" s="167" t="s">
        <v>45</v>
      </c>
      <c r="N10" s="167" t="s">
        <v>45</v>
      </c>
      <c r="O10" s="167" t="s">
        <v>45</v>
      </c>
      <c r="P10" s="167" t="s">
        <v>45</v>
      </c>
      <c r="Q10" s="167" t="s">
        <v>45</v>
      </c>
      <c r="R10" s="167" t="s">
        <v>45</v>
      </c>
      <c r="S10" s="167" t="s">
        <v>45</v>
      </c>
      <c r="T10" s="167" t="s">
        <v>45</v>
      </c>
      <c r="U10" s="167" t="s">
        <v>45</v>
      </c>
      <c r="V10" s="167" t="s">
        <v>45</v>
      </c>
      <c r="W10" s="167" t="s">
        <v>282</v>
      </c>
      <c r="X10" s="167" t="s">
        <v>282</v>
      </c>
      <c r="Y10" s="167" t="s">
        <v>45</v>
      </c>
      <c r="Z10" s="167" t="s">
        <v>45</v>
      </c>
      <c r="AA10" s="167" t="s">
        <v>45</v>
      </c>
      <c r="AB10" s="167" t="s">
        <v>45</v>
      </c>
      <c r="AC10" s="167" t="s">
        <v>45</v>
      </c>
      <c r="AD10" s="167" t="s">
        <v>45</v>
      </c>
      <c r="AE10" s="167" t="s">
        <v>45</v>
      </c>
      <c r="AF10" s="167" t="s">
        <v>45</v>
      </c>
      <c r="AG10" s="167" t="s">
        <v>45</v>
      </c>
      <c r="AH10" s="167" t="s">
        <v>256</v>
      </c>
      <c r="AI10" s="167" t="s">
        <v>256</v>
      </c>
      <c r="AJ10" s="167" t="s">
        <v>155</v>
      </c>
      <c r="AK10" s="167" t="s">
        <v>252</v>
      </c>
      <c r="AL10" s="167" t="s">
        <v>243</v>
      </c>
      <c r="AM10" s="167" t="s">
        <v>243</v>
      </c>
      <c r="AN10" s="167" t="s">
        <v>243</v>
      </c>
      <c r="AO10" s="167" t="s">
        <v>243</v>
      </c>
      <c r="AP10" s="167" t="s">
        <v>155</v>
      </c>
      <c r="AQ10" s="167" t="s">
        <v>155</v>
      </c>
      <c r="AR10" s="167" t="s">
        <v>155</v>
      </c>
      <c r="AS10" s="167" t="s">
        <v>155</v>
      </c>
      <c r="AT10" s="167" t="s">
        <v>155</v>
      </c>
      <c r="AU10" s="167" t="s">
        <v>272</v>
      </c>
      <c r="AV10" s="167" t="s">
        <v>155</v>
      </c>
      <c r="AW10" s="167" t="s">
        <v>155</v>
      </c>
      <c r="AX10" s="167" t="s">
        <v>155</v>
      </c>
      <c r="AY10" s="167" t="s">
        <v>252</v>
      </c>
      <c r="AZ10" s="167" t="s">
        <v>243</v>
      </c>
      <c r="BA10" s="167" t="s">
        <v>243</v>
      </c>
      <c r="BB10" s="167" t="s">
        <v>243</v>
      </c>
      <c r="BC10" s="167" t="s">
        <v>243</v>
      </c>
      <c r="BD10" s="167" t="s">
        <v>155</v>
      </c>
      <c r="BE10" s="167" t="s">
        <v>155</v>
      </c>
      <c r="BF10" s="167" t="s">
        <v>155</v>
      </c>
      <c r="BG10" s="167" t="s">
        <v>155</v>
      </c>
      <c r="BH10" s="167" t="s">
        <v>250</v>
      </c>
      <c r="BI10" s="167" t="s">
        <v>251</v>
      </c>
      <c r="BJ10" s="144" cm="1">
        <f t="array" ref="BJ10">SUMPRODUCT(COUNTIF(F10:BI10, {"C","CV","C-I","SM"}))</f>
        <v>2</v>
      </c>
      <c r="BK10" s="160">
        <f t="shared" ref="BK10:BK20" si="1">COUNTIF(F10:BI10, "CV")</f>
        <v>0</v>
      </c>
      <c r="BL10" s="160">
        <f t="shared" ref="BL10:BL28" si="2">BJ10+BK10</f>
        <v>2</v>
      </c>
      <c r="BM10" s="160">
        <f t="shared" ref="BM10:BM20" si="3">COUNTIF(F10:BI10, "NF")</f>
        <v>23</v>
      </c>
      <c r="BN10" s="159">
        <f t="shared" ref="BN10:BN20" si="4">COUNTIF(F10:BI10, "CC")</f>
        <v>0</v>
      </c>
      <c r="BO10" s="161" cm="1">
        <f t="array" ref="BO10">SUMPRODUCT(COUNTIF(F10:BI10, {"PC","OFF","W"}))</f>
        <v>14</v>
      </c>
      <c r="BP10" s="144">
        <f t="shared" si="0"/>
        <v>0</v>
      </c>
      <c r="BQ10" s="144">
        <f t="shared" ref="BQ10:BQ20" si="5">COUNTIF(F10:BI10, "FMIT")</f>
        <v>0</v>
      </c>
      <c r="BR10" s="144"/>
      <c r="BS10" s="83"/>
      <c r="BT10" s="155"/>
      <c r="BU10" s="155"/>
      <c r="BV10" s="152"/>
      <c r="BW10" s="152"/>
    </row>
    <row r="11" spans="1:75" ht="21" x14ac:dyDescent="0.25">
      <c r="A11" s="175" t="s">
        <v>155</v>
      </c>
      <c r="B11" s="92" t="s">
        <v>45</v>
      </c>
      <c r="C11" s="82" t="s">
        <v>224</v>
      </c>
      <c r="D11" s="26" t="s">
        <v>247</v>
      </c>
      <c r="E11" s="27" t="s">
        <v>561</v>
      </c>
      <c r="F11" s="167" t="s">
        <v>155</v>
      </c>
      <c r="G11" s="167" t="s">
        <v>155</v>
      </c>
      <c r="H11" s="167" t="s">
        <v>155</v>
      </c>
      <c r="I11" s="167" t="s">
        <v>252</v>
      </c>
      <c r="J11" s="167" t="s">
        <v>243</v>
      </c>
      <c r="K11" s="167" t="s">
        <v>243</v>
      </c>
      <c r="L11" s="167" t="s">
        <v>243</v>
      </c>
      <c r="M11" s="167" t="s">
        <v>243</v>
      </c>
      <c r="N11" s="167" t="s">
        <v>155</v>
      </c>
      <c r="O11" s="167" t="s">
        <v>155</v>
      </c>
      <c r="P11" s="167" t="s">
        <v>155</v>
      </c>
      <c r="Q11" s="167" t="s">
        <v>155</v>
      </c>
      <c r="R11" s="167" t="s">
        <v>155</v>
      </c>
      <c r="S11" s="167" t="s">
        <v>250</v>
      </c>
      <c r="T11" s="167" t="s">
        <v>155</v>
      </c>
      <c r="U11" s="167" t="s">
        <v>155</v>
      </c>
      <c r="V11" s="167" t="s">
        <v>155</v>
      </c>
      <c r="W11" s="167" t="s">
        <v>252</v>
      </c>
      <c r="X11" s="167" t="s">
        <v>243</v>
      </c>
      <c r="Y11" s="167" t="s">
        <v>243</v>
      </c>
      <c r="Z11" s="167" t="s">
        <v>243</v>
      </c>
      <c r="AA11" s="167" t="s">
        <v>243</v>
      </c>
      <c r="AB11" s="167" t="s">
        <v>155</v>
      </c>
      <c r="AC11" s="167" t="s">
        <v>155</v>
      </c>
      <c r="AD11" s="167" t="s">
        <v>155</v>
      </c>
      <c r="AE11" s="167" t="s">
        <v>155</v>
      </c>
      <c r="AF11" s="167" t="s">
        <v>155</v>
      </c>
      <c r="AG11" s="167" t="s">
        <v>269</v>
      </c>
      <c r="AH11" s="167" t="s">
        <v>45</v>
      </c>
      <c r="AI11" s="167" t="s">
        <v>312</v>
      </c>
      <c r="AJ11" s="167" t="s">
        <v>45</v>
      </c>
      <c r="AK11" s="167" t="s">
        <v>282</v>
      </c>
      <c r="AL11" s="167" t="s">
        <v>282</v>
      </c>
      <c r="AM11" s="167" t="s">
        <v>45</v>
      </c>
      <c r="AN11" s="167" t="s">
        <v>45</v>
      </c>
      <c r="AO11" s="167" t="s">
        <v>45</v>
      </c>
      <c r="AP11" s="167" t="s">
        <v>45</v>
      </c>
      <c r="AQ11" s="167" t="s">
        <v>45</v>
      </c>
      <c r="AR11" s="167" t="s">
        <v>45</v>
      </c>
      <c r="AS11" s="167" t="s">
        <v>45</v>
      </c>
      <c r="AT11" s="167" t="s">
        <v>45</v>
      </c>
      <c r="AU11" s="167" t="s">
        <v>45</v>
      </c>
      <c r="AV11" s="167" t="s">
        <v>45</v>
      </c>
      <c r="AW11" s="167" t="s">
        <v>45</v>
      </c>
      <c r="AX11" s="167" t="s">
        <v>45</v>
      </c>
      <c r="AY11" s="167" t="s">
        <v>282</v>
      </c>
      <c r="AZ11" s="167" t="s">
        <v>282</v>
      </c>
      <c r="BA11" s="167" t="s">
        <v>45</v>
      </c>
      <c r="BB11" s="167" t="s">
        <v>45</v>
      </c>
      <c r="BC11" s="167" t="s">
        <v>45</v>
      </c>
      <c r="BD11" s="167" t="s">
        <v>45</v>
      </c>
      <c r="BE11" s="167" t="s">
        <v>45</v>
      </c>
      <c r="BF11" s="167" t="s">
        <v>45</v>
      </c>
      <c r="BG11" s="167" t="s">
        <v>45</v>
      </c>
      <c r="BH11" s="167" t="s">
        <v>45</v>
      </c>
      <c r="BI11" s="167" t="s">
        <v>45</v>
      </c>
      <c r="BJ11" s="144" cm="1">
        <f t="array" ref="BJ11">SUMPRODUCT(COUNTIF(F11:BI11, {"C","CV","C-I","SM"}))</f>
        <v>2</v>
      </c>
      <c r="BK11" s="160">
        <f t="shared" si="1"/>
        <v>0</v>
      </c>
      <c r="BL11" s="160">
        <f t="shared" si="2"/>
        <v>2</v>
      </c>
      <c r="BM11" s="160">
        <f t="shared" si="3"/>
        <v>23</v>
      </c>
      <c r="BN11" s="159">
        <f t="shared" si="4"/>
        <v>0</v>
      </c>
      <c r="BO11" s="161" cm="1">
        <f t="array" ref="BO11">SUMPRODUCT(COUNTIF(F11:BI11, {"PC","OFF","W"}))</f>
        <v>12</v>
      </c>
      <c r="BP11" s="144">
        <f t="shared" si="0"/>
        <v>0</v>
      </c>
      <c r="BQ11" s="144">
        <f t="shared" si="5"/>
        <v>0</v>
      </c>
      <c r="BR11" s="144"/>
      <c r="BS11" s="83"/>
      <c r="BT11" s="155"/>
      <c r="BU11" s="84"/>
      <c r="BV11" s="152"/>
      <c r="BW11" s="152"/>
    </row>
    <row r="12" spans="1:75" ht="21" x14ac:dyDescent="0.25">
      <c r="A12" s="216" t="s">
        <v>380</v>
      </c>
      <c r="B12" s="216"/>
      <c r="C12" s="82" t="s">
        <v>224</v>
      </c>
      <c r="D12" s="26" t="s">
        <v>247</v>
      </c>
      <c r="E12" s="27" t="s">
        <v>354</v>
      </c>
      <c r="F12" s="167" t="s">
        <v>256</v>
      </c>
      <c r="G12" s="167" t="s">
        <v>256</v>
      </c>
      <c r="H12" s="167" t="s">
        <v>252</v>
      </c>
      <c r="I12" s="167" t="s">
        <v>252</v>
      </c>
      <c r="J12" s="167" t="s">
        <v>243</v>
      </c>
      <c r="K12" s="167" t="s">
        <v>243</v>
      </c>
      <c r="L12" s="167" t="s">
        <v>243</v>
      </c>
      <c r="M12" s="167" t="s">
        <v>243</v>
      </c>
      <c r="N12" s="167" t="s">
        <v>248</v>
      </c>
      <c r="O12" s="167" t="s">
        <v>249</v>
      </c>
      <c r="P12" s="167" t="s">
        <v>252</v>
      </c>
      <c r="Q12" s="167" t="s">
        <v>310</v>
      </c>
      <c r="R12" s="167" t="s">
        <v>258</v>
      </c>
      <c r="S12" s="167" t="s">
        <v>250</v>
      </c>
      <c r="T12" s="167" t="s">
        <v>321</v>
      </c>
      <c r="U12" s="167" t="s">
        <v>309</v>
      </c>
      <c r="V12" s="167" t="s">
        <v>252</v>
      </c>
      <c r="W12" s="167" t="s">
        <v>252</v>
      </c>
      <c r="X12" s="167" t="s">
        <v>243</v>
      </c>
      <c r="Y12" s="167" t="s">
        <v>243</v>
      </c>
      <c r="Z12" s="167" t="s">
        <v>243</v>
      </c>
      <c r="AA12" s="167" t="s">
        <v>243</v>
      </c>
      <c r="AB12" s="167" t="s">
        <v>348</v>
      </c>
      <c r="AC12" s="167" t="s">
        <v>310</v>
      </c>
      <c r="AD12" s="167" t="s">
        <v>334</v>
      </c>
      <c r="AE12" s="167" t="s">
        <v>252</v>
      </c>
      <c r="AF12" s="167" t="s">
        <v>258</v>
      </c>
      <c r="AG12" s="167" t="s">
        <v>269</v>
      </c>
      <c r="AH12" s="167" t="s">
        <v>252</v>
      </c>
      <c r="AI12" s="167" t="s">
        <v>252</v>
      </c>
      <c r="AJ12" s="167" t="s">
        <v>333</v>
      </c>
      <c r="AK12" s="167" t="s">
        <v>252</v>
      </c>
      <c r="AL12" s="167" t="s">
        <v>243</v>
      </c>
      <c r="AM12" s="167" t="s">
        <v>243</v>
      </c>
      <c r="AN12" s="167" t="s">
        <v>243</v>
      </c>
      <c r="AO12" s="167" t="s">
        <v>243</v>
      </c>
      <c r="AP12" s="167" t="s">
        <v>252</v>
      </c>
      <c r="AQ12" s="167" t="s">
        <v>310</v>
      </c>
      <c r="AR12" s="167" t="s">
        <v>252</v>
      </c>
      <c r="AS12" s="167" t="s">
        <v>310</v>
      </c>
      <c r="AT12" s="167" t="s">
        <v>258</v>
      </c>
      <c r="AU12" s="167" t="s">
        <v>272</v>
      </c>
      <c r="AV12" s="167" t="s">
        <v>252</v>
      </c>
      <c r="AW12" s="167" t="s">
        <v>321</v>
      </c>
      <c r="AX12" s="167" t="s">
        <v>253</v>
      </c>
      <c r="AY12" s="167" t="s">
        <v>253</v>
      </c>
      <c r="AZ12" s="167" t="s">
        <v>253</v>
      </c>
      <c r="BA12" s="167" t="s">
        <v>253</v>
      </c>
      <c r="BB12" s="167" t="s">
        <v>253</v>
      </c>
      <c r="BC12" s="167" t="s">
        <v>253</v>
      </c>
      <c r="BD12" s="167" t="s">
        <v>253</v>
      </c>
      <c r="BE12" s="167" t="s">
        <v>253</v>
      </c>
      <c r="BF12" s="167" t="s">
        <v>253</v>
      </c>
      <c r="BG12" s="167" t="s">
        <v>253</v>
      </c>
      <c r="BH12" s="167" t="s">
        <v>253</v>
      </c>
      <c r="BI12" s="167" t="s">
        <v>253</v>
      </c>
      <c r="BJ12" s="144" cm="1">
        <f t="array" ref="BJ12">SUMPRODUCT(COUNTIF(F12:BI12, {"C","CV","C-I","SM"}))</f>
        <v>13</v>
      </c>
      <c r="BK12" s="160">
        <f>COUNTIF(F12:BI12, "CV")</f>
        <v>1</v>
      </c>
      <c r="BL12" s="160">
        <f t="shared" si="2"/>
        <v>14</v>
      </c>
      <c r="BM12" s="160">
        <f>COUNTIF(F12:BI12, "NF")</f>
        <v>0</v>
      </c>
      <c r="BN12" s="159">
        <f>COUNTIF(F12:BI12, "CC")</f>
        <v>1</v>
      </c>
      <c r="BO12" s="161" cm="1">
        <f t="array" ref="BO12">SUMPRODUCT(COUNTIF(F12:BI12, {"PC","OFF","W"}))</f>
        <v>14</v>
      </c>
      <c r="BP12" s="144">
        <f t="shared" si="0"/>
        <v>12</v>
      </c>
      <c r="BQ12" s="144">
        <f>COUNTIF(F12:BI12, "FMIT")</f>
        <v>0</v>
      </c>
      <c r="BR12" s="144"/>
      <c r="BS12" s="83"/>
      <c r="BT12" s="155"/>
      <c r="BU12" s="84"/>
      <c r="BV12" s="152"/>
      <c r="BW12" s="152"/>
    </row>
    <row r="13" spans="1:75" ht="21" x14ac:dyDescent="0.25">
      <c r="A13" s="191" t="s">
        <v>87</v>
      </c>
      <c r="B13" s="191"/>
      <c r="C13" s="82" t="s">
        <v>224</v>
      </c>
      <c r="D13" s="26" t="s">
        <v>247</v>
      </c>
      <c r="E13" s="27" t="s">
        <v>581</v>
      </c>
      <c r="F13" s="167" t="s">
        <v>209</v>
      </c>
      <c r="G13" s="167" t="s">
        <v>209</v>
      </c>
      <c r="H13" s="167" t="s">
        <v>209</v>
      </c>
      <c r="I13" s="167" t="s">
        <v>209</v>
      </c>
      <c r="J13" s="167" t="s">
        <v>209</v>
      </c>
      <c r="K13" s="167" t="s">
        <v>209</v>
      </c>
      <c r="L13" s="167" t="s">
        <v>209</v>
      </c>
      <c r="M13" s="167" t="s">
        <v>209</v>
      </c>
      <c r="N13" s="167" t="s">
        <v>209</v>
      </c>
      <c r="O13" s="167" t="s">
        <v>209</v>
      </c>
      <c r="P13" s="167" t="s">
        <v>209</v>
      </c>
      <c r="Q13" s="167" t="s">
        <v>209</v>
      </c>
      <c r="R13" s="167" t="s">
        <v>209</v>
      </c>
      <c r="S13" s="167" t="s">
        <v>209</v>
      </c>
      <c r="T13" s="167" t="s">
        <v>209</v>
      </c>
      <c r="U13" s="167" t="s">
        <v>209</v>
      </c>
      <c r="V13" s="167" t="s">
        <v>209</v>
      </c>
      <c r="W13" s="167" t="s">
        <v>209</v>
      </c>
      <c r="X13" s="167" t="s">
        <v>209</v>
      </c>
      <c r="Y13" s="167" t="s">
        <v>209</v>
      </c>
      <c r="Z13" s="167" t="s">
        <v>209</v>
      </c>
      <c r="AA13" s="167" t="s">
        <v>209</v>
      </c>
      <c r="AB13" s="167" t="s">
        <v>209</v>
      </c>
      <c r="AC13" s="167" t="s">
        <v>316</v>
      </c>
      <c r="AD13" s="167" t="s">
        <v>209</v>
      </c>
      <c r="AE13" s="167" t="s">
        <v>209</v>
      </c>
      <c r="AF13" s="167" t="s">
        <v>209</v>
      </c>
      <c r="AG13" s="167" t="s">
        <v>209</v>
      </c>
      <c r="AH13" s="167" t="s">
        <v>209</v>
      </c>
      <c r="AI13" s="167" t="s">
        <v>209</v>
      </c>
      <c r="AJ13" s="167" t="s">
        <v>209</v>
      </c>
      <c r="AK13" s="167" t="s">
        <v>209</v>
      </c>
      <c r="AL13" s="167" t="s">
        <v>209</v>
      </c>
      <c r="AM13" s="167" t="s">
        <v>209</v>
      </c>
      <c r="AN13" s="167" t="s">
        <v>209</v>
      </c>
      <c r="AO13" s="167" t="s">
        <v>209</v>
      </c>
      <c r="AP13" s="167" t="s">
        <v>209</v>
      </c>
      <c r="AQ13" s="167" t="s">
        <v>316</v>
      </c>
      <c r="AR13" s="167" t="s">
        <v>209</v>
      </c>
      <c r="AS13" s="167" t="s">
        <v>209</v>
      </c>
      <c r="AT13" s="167" t="s">
        <v>209</v>
      </c>
      <c r="AU13" s="167" t="s">
        <v>209</v>
      </c>
      <c r="AV13" s="167" t="s">
        <v>209</v>
      </c>
      <c r="AW13" s="167" t="s">
        <v>209</v>
      </c>
      <c r="AX13" s="167" t="s">
        <v>209</v>
      </c>
      <c r="AY13" s="167" t="s">
        <v>209</v>
      </c>
      <c r="AZ13" s="167" t="s">
        <v>209</v>
      </c>
      <c r="BA13" s="167" t="s">
        <v>209</v>
      </c>
      <c r="BB13" s="167" t="s">
        <v>209</v>
      </c>
      <c r="BC13" s="167" t="s">
        <v>209</v>
      </c>
      <c r="BD13" s="167" t="s">
        <v>209</v>
      </c>
      <c r="BE13" s="167" t="s">
        <v>316</v>
      </c>
      <c r="BF13" s="167" t="s">
        <v>209</v>
      </c>
      <c r="BG13" s="167" t="s">
        <v>209</v>
      </c>
      <c r="BH13" s="167" t="s">
        <v>209</v>
      </c>
      <c r="BI13" s="167" t="s">
        <v>209</v>
      </c>
      <c r="BJ13" s="144" cm="1">
        <f t="array" ref="BJ13">SUMPRODUCT(COUNTIF(F13:BI13, {"C","CV","C-I","SM"}))</f>
        <v>3</v>
      </c>
      <c r="BK13" s="160">
        <f t="shared" si="1"/>
        <v>0</v>
      </c>
      <c r="BL13" s="160">
        <f t="shared" si="2"/>
        <v>3</v>
      </c>
      <c r="BM13" s="160">
        <f t="shared" si="3"/>
        <v>0</v>
      </c>
      <c r="BN13" s="159">
        <f t="shared" si="4"/>
        <v>0</v>
      </c>
      <c r="BO13" s="161" cm="1">
        <f t="array" ref="BO13">SUMPRODUCT(COUNTIF(F13:BI13, {"PC","OFF","W"}))</f>
        <v>0</v>
      </c>
      <c r="BP13" s="144">
        <f t="shared" si="0"/>
        <v>0</v>
      </c>
      <c r="BQ13" s="144">
        <f t="shared" si="5"/>
        <v>53</v>
      </c>
      <c r="BR13" s="144"/>
      <c r="BS13" s="83"/>
      <c r="BT13" s="155"/>
      <c r="BU13" s="84"/>
      <c r="BV13" s="152"/>
      <c r="BW13" s="152"/>
    </row>
    <row r="14" spans="1:75" ht="21" x14ac:dyDescent="0.25">
      <c r="A14" s="192" t="s">
        <v>381</v>
      </c>
      <c r="B14" s="192"/>
      <c r="C14" s="82" t="s">
        <v>223</v>
      </c>
      <c r="D14" s="26" t="s">
        <v>254</v>
      </c>
      <c r="E14" s="30" t="s">
        <v>582</v>
      </c>
      <c r="F14" s="167" t="s">
        <v>348</v>
      </c>
      <c r="G14" s="167" t="s">
        <v>252</v>
      </c>
      <c r="H14" s="167" t="s">
        <v>252</v>
      </c>
      <c r="I14" s="167" t="s">
        <v>309</v>
      </c>
      <c r="J14" s="167" t="s">
        <v>243</v>
      </c>
      <c r="K14" s="167" t="s">
        <v>243</v>
      </c>
      <c r="L14" s="167" t="s">
        <v>243</v>
      </c>
      <c r="M14" s="167" t="s">
        <v>243</v>
      </c>
      <c r="N14" s="167" t="s">
        <v>248</v>
      </c>
      <c r="O14" s="167" t="s">
        <v>249</v>
      </c>
      <c r="P14" s="167" t="s">
        <v>382</v>
      </c>
      <c r="Q14" s="167" t="s">
        <v>382</v>
      </c>
      <c r="R14" s="167" t="s">
        <v>311</v>
      </c>
      <c r="S14" s="167" t="s">
        <v>311</v>
      </c>
      <c r="T14" s="167" t="s">
        <v>311</v>
      </c>
      <c r="U14" s="167" t="s">
        <v>311</v>
      </c>
      <c r="V14" s="167" t="s">
        <v>311</v>
      </c>
      <c r="W14" s="167" t="s">
        <v>311</v>
      </c>
      <c r="X14" s="167" t="s">
        <v>311</v>
      </c>
      <c r="Y14" s="167" t="s">
        <v>311</v>
      </c>
      <c r="Z14" s="167" t="s">
        <v>311</v>
      </c>
      <c r="AA14" s="167" t="s">
        <v>311</v>
      </c>
      <c r="AB14" s="167" t="s">
        <v>311</v>
      </c>
      <c r="AC14" s="167" t="s">
        <v>311</v>
      </c>
      <c r="AD14" s="167" t="s">
        <v>311</v>
      </c>
      <c r="AE14" s="167" t="s">
        <v>311</v>
      </c>
      <c r="AF14" s="167" t="s">
        <v>311</v>
      </c>
      <c r="AG14" s="167" t="s">
        <v>311</v>
      </c>
      <c r="AH14" s="167" t="s">
        <v>311</v>
      </c>
      <c r="AI14" s="167" t="s">
        <v>311</v>
      </c>
      <c r="AJ14" s="167" t="s">
        <v>311</v>
      </c>
      <c r="AK14" s="167" t="s">
        <v>311</v>
      </c>
      <c r="AL14" s="167" t="s">
        <v>382</v>
      </c>
      <c r="AM14" s="167" t="s">
        <v>382</v>
      </c>
      <c r="AN14" s="167" t="s">
        <v>243</v>
      </c>
      <c r="AO14" s="167" t="s">
        <v>243</v>
      </c>
      <c r="AP14" s="167" t="s">
        <v>252</v>
      </c>
      <c r="AQ14" s="167" t="s">
        <v>309</v>
      </c>
      <c r="AR14" s="167" t="s">
        <v>348</v>
      </c>
      <c r="AS14" s="167" t="s">
        <v>309</v>
      </c>
      <c r="AT14" s="167" t="s">
        <v>320</v>
      </c>
      <c r="AU14" s="167" t="s">
        <v>272</v>
      </c>
      <c r="AV14" s="167" t="s">
        <v>348</v>
      </c>
      <c r="AW14" s="167" t="s">
        <v>252</v>
      </c>
      <c r="AX14" s="167" t="s">
        <v>252</v>
      </c>
      <c r="AY14" s="167" t="s">
        <v>309</v>
      </c>
      <c r="AZ14" s="167" t="s">
        <v>243</v>
      </c>
      <c r="BA14" s="167" t="s">
        <v>243</v>
      </c>
      <c r="BB14" s="167" t="s">
        <v>243</v>
      </c>
      <c r="BC14" s="167" t="s">
        <v>243</v>
      </c>
      <c r="BD14" s="167" t="s">
        <v>252</v>
      </c>
      <c r="BE14" s="167" t="s">
        <v>262</v>
      </c>
      <c r="BF14" s="167" t="s">
        <v>348</v>
      </c>
      <c r="BG14" s="167" t="s">
        <v>309</v>
      </c>
      <c r="BH14" s="167" t="s">
        <v>250</v>
      </c>
      <c r="BI14" s="167" t="s">
        <v>251</v>
      </c>
      <c r="BJ14" s="144" cm="1">
        <f t="array" ref="BJ14">SUMPRODUCT(COUNTIF(F14:BI14, {"C","CV","C-I","SM"}))</f>
        <v>11</v>
      </c>
      <c r="BK14" s="160">
        <f t="shared" si="1"/>
        <v>5</v>
      </c>
      <c r="BL14" s="160">
        <f t="shared" si="2"/>
        <v>16</v>
      </c>
      <c r="BM14" s="160">
        <f t="shared" si="3"/>
        <v>0</v>
      </c>
      <c r="BN14" s="159">
        <f t="shared" si="4"/>
        <v>4</v>
      </c>
      <c r="BO14" s="161" cm="1">
        <f t="array" ref="BO14">SUMPRODUCT(COUNTIF(F14:BI14, {"PC","OFF","W"}))</f>
        <v>10</v>
      </c>
      <c r="BP14" s="144">
        <f t="shared" si="0"/>
        <v>0</v>
      </c>
      <c r="BQ14" s="144">
        <f t="shared" si="5"/>
        <v>0</v>
      </c>
      <c r="BR14" s="144"/>
      <c r="BS14" s="83"/>
      <c r="BT14" s="155"/>
      <c r="BU14" s="59"/>
      <c r="BV14" s="152"/>
      <c r="BW14" s="152"/>
    </row>
    <row r="15" spans="1:75" ht="21" x14ac:dyDescent="0.25">
      <c r="A15" s="193" t="s">
        <v>90</v>
      </c>
      <c r="B15" s="193"/>
      <c r="C15" s="82" t="s">
        <v>223</v>
      </c>
      <c r="D15" s="26" t="s">
        <v>254</v>
      </c>
      <c r="E15" s="27" t="s">
        <v>583</v>
      </c>
      <c r="F15" s="167" t="s">
        <v>272</v>
      </c>
      <c r="G15" s="167" t="s">
        <v>272</v>
      </c>
      <c r="H15" s="167" t="s">
        <v>323</v>
      </c>
      <c r="I15" s="167" t="s">
        <v>323</v>
      </c>
      <c r="J15" s="167" t="s">
        <v>323</v>
      </c>
      <c r="K15" s="167" t="s">
        <v>323</v>
      </c>
      <c r="L15" s="167" t="s">
        <v>323</v>
      </c>
      <c r="M15" s="167" t="s">
        <v>323</v>
      </c>
      <c r="N15" s="167" t="s">
        <v>323</v>
      </c>
      <c r="O15" s="167" t="s">
        <v>323</v>
      </c>
      <c r="P15" s="167" t="s">
        <v>323</v>
      </c>
      <c r="Q15" s="167" t="s">
        <v>323</v>
      </c>
      <c r="R15" s="167" t="s">
        <v>252</v>
      </c>
      <c r="S15" s="167" t="s">
        <v>250</v>
      </c>
      <c r="T15" s="167" t="s">
        <v>252</v>
      </c>
      <c r="U15" s="167" t="s">
        <v>252</v>
      </c>
      <c r="V15" s="167" t="s">
        <v>323</v>
      </c>
      <c r="W15" s="167" t="s">
        <v>323</v>
      </c>
      <c r="X15" s="167" t="s">
        <v>323</v>
      </c>
      <c r="Y15" s="167" t="s">
        <v>323</v>
      </c>
      <c r="Z15" s="167" t="s">
        <v>323</v>
      </c>
      <c r="AA15" s="167" t="s">
        <v>323</v>
      </c>
      <c r="AB15" s="167" t="s">
        <v>323</v>
      </c>
      <c r="AC15" s="167" t="s">
        <v>323</v>
      </c>
      <c r="AD15" s="167" t="s">
        <v>323</v>
      </c>
      <c r="AE15" s="167" t="s">
        <v>323</v>
      </c>
      <c r="AF15" s="167" t="s">
        <v>252</v>
      </c>
      <c r="AG15" s="167" t="s">
        <v>269</v>
      </c>
      <c r="AH15" s="167" t="s">
        <v>252</v>
      </c>
      <c r="AI15" s="167" t="s">
        <v>317</v>
      </c>
      <c r="AJ15" s="167" t="s">
        <v>323</v>
      </c>
      <c r="AK15" s="167" t="s">
        <v>323</v>
      </c>
      <c r="AL15" s="167" t="s">
        <v>323</v>
      </c>
      <c r="AM15" s="167" t="s">
        <v>323</v>
      </c>
      <c r="AN15" s="167" t="s">
        <v>323</v>
      </c>
      <c r="AO15" s="167" t="s">
        <v>323</v>
      </c>
      <c r="AP15" s="167" t="s">
        <v>323</v>
      </c>
      <c r="AQ15" s="167" t="s">
        <v>323</v>
      </c>
      <c r="AR15" s="167" t="s">
        <v>323</v>
      </c>
      <c r="AS15" s="167" t="s">
        <v>323</v>
      </c>
      <c r="AT15" s="167" t="s">
        <v>252</v>
      </c>
      <c r="AU15" s="167" t="s">
        <v>272</v>
      </c>
      <c r="AV15" s="167" t="s">
        <v>252</v>
      </c>
      <c r="AW15" s="167" t="s">
        <v>252</v>
      </c>
      <c r="AX15" s="167" t="s">
        <v>323</v>
      </c>
      <c r="AY15" s="167" t="s">
        <v>323</v>
      </c>
      <c r="AZ15" s="167" t="s">
        <v>323</v>
      </c>
      <c r="BA15" s="167" t="s">
        <v>323</v>
      </c>
      <c r="BB15" s="167" t="s">
        <v>323</v>
      </c>
      <c r="BC15" s="167" t="s">
        <v>323</v>
      </c>
      <c r="BD15" s="167" t="s">
        <v>323</v>
      </c>
      <c r="BE15" s="167" t="s">
        <v>323</v>
      </c>
      <c r="BF15" s="167" t="s">
        <v>323</v>
      </c>
      <c r="BG15" s="167" t="s">
        <v>323</v>
      </c>
      <c r="BH15" s="167" t="s">
        <v>250</v>
      </c>
      <c r="BI15" s="167" t="s">
        <v>251</v>
      </c>
      <c r="BJ15" s="144" cm="1">
        <f t="array" ref="BJ15">SUMPRODUCT(COUNTIF(F15:BI15, {"C","CV","C-I","SM"}))</f>
        <v>8</v>
      </c>
      <c r="BK15" s="160">
        <f t="shared" si="1"/>
        <v>0</v>
      </c>
      <c r="BL15" s="160">
        <f t="shared" si="2"/>
        <v>8</v>
      </c>
      <c r="BM15" s="160">
        <f t="shared" si="3"/>
        <v>0</v>
      </c>
      <c r="BN15" s="159">
        <f t="shared" si="4"/>
        <v>0</v>
      </c>
      <c r="BO15" s="161" cm="1">
        <f t="array" ref="BO15">SUMPRODUCT(COUNTIF(F15:BI15, {"PC","OFF","W"}))</f>
        <v>0</v>
      </c>
      <c r="BP15" s="144">
        <f t="shared" si="0"/>
        <v>0</v>
      </c>
      <c r="BQ15" s="144">
        <f t="shared" si="5"/>
        <v>0</v>
      </c>
      <c r="BR15" s="144"/>
      <c r="BS15" s="83"/>
      <c r="BT15" s="155"/>
      <c r="BU15" s="59"/>
      <c r="BV15" s="152"/>
      <c r="BW15" s="152"/>
    </row>
    <row r="16" spans="1:75" ht="21" x14ac:dyDescent="0.25">
      <c r="A16" s="193" t="s">
        <v>91</v>
      </c>
      <c r="B16" s="193"/>
      <c r="C16" s="82" t="s">
        <v>223</v>
      </c>
      <c r="D16" s="26" t="s">
        <v>254</v>
      </c>
      <c r="E16" s="27" t="s">
        <v>584</v>
      </c>
      <c r="F16" s="167" t="s">
        <v>345</v>
      </c>
      <c r="G16" s="167" t="s">
        <v>343</v>
      </c>
      <c r="H16" s="167" t="s">
        <v>345</v>
      </c>
      <c r="I16" s="167" t="s">
        <v>252</v>
      </c>
      <c r="J16" s="167" t="s">
        <v>243</v>
      </c>
      <c r="K16" s="167" t="s">
        <v>243</v>
      </c>
      <c r="L16" s="167" t="s">
        <v>243</v>
      </c>
      <c r="M16" s="167" t="s">
        <v>243</v>
      </c>
      <c r="N16" s="167" t="s">
        <v>248</v>
      </c>
      <c r="O16" s="167" t="s">
        <v>249</v>
      </c>
      <c r="P16" s="167" t="s">
        <v>252</v>
      </c>
      <c r="Q16" s="167" t="s">
        <v>344</v>
      </c>
      <c r="R16" s="167" t="s">
        <v>344</v>
      </c>
      <c r="S16" s="167" t="s">
        <v>250</v>
      </c>
      <c r="T16" s="167" t="s">
        <v>345</v>
      </c>
      <c r="U16" s="167" t="s">
        <v>343</v>
      </c>
      <c r="V16" s="167" t="s">
        <v>345</v>
      </c>
      <c r="W16" s="167" t="s">
        <v>252</v>
      </c>
      <c r="X16" s="167" t="s">
        <v>243</v>
      </c>
      <c r="Y16" s="167" t="s">
        <v>243</v>
      </c>
      <c r="Z16" s="167" t="s">
        <v>243</v>
      </c>
      <c r="AA16" s="167" t="s">
        <v>243</v>
      </c>
      <c r="AB16" s="167" t="s">
        <v>252</v>
      </c>
      <c r="AC16" s="167" t="s">
        <v>343</v>
      </c>
      <c r="AD16" s="167" t="s">
        <v>345</v>
      </c>
      <c r="AE16" s="167" t="s">
        <v>320</v>
      </c>
      <c r="AF16" s="167" t="s">
        <v>345</v>
      </c>
      <c r="AG16" s="167" t="s">
        <v>269</v>
      </c>
      <c r="AH16" s="167" t="s">
        <v>252</v>
      </c>
      <c r="AI16" s="167" t="s">
        <v>344</v>
      </c>
      <c r="AJ16" s="167" t="s">
        <v>345</v>
      </c>
      <c r="AK16" s="167" t="s">
        <v>350</v>
      </c>
      <c r="AL16" s="167" t="s">
        <v>243</v>
      </c>
      <c r="AM16" s="167" t="s">
        <v>243</v>
      </c>
      <c r="AN16" s="167" t="s">
        <v>243</v>
      </c>
      <c r="AO16" s="167" t="s">
        <v>243</v>
      </c>
      <c r="AP16" s="167" t="s">
        <v>252</v>
      </c>
      <c r="AQ16" s="167" t="s">
        <v>343</v>
      </c>
      <c r="AR16" s="167" t="s">
        <v>348</v>
      </c>
      <c r="AS16" s="167" t="s">
        <v>344</v>
      </c>
      <c r="AT16" s="167" t="s">
        <v>344</v>
      </c>
      <c r="AU16" s="167" t="s">
        <v>272</v>
      </c>
      <c r="AV16" s="167" t="s">
        <v>252</v>
      </c>
      <c r="AW16" s="167" t="s">
        <v>343</v>
      </c>
      <c r="AX16" s="167" t="s">
        <v>351</v>
      </c>
      <c r="AY16" s="167" t="s">
        <v>252</v>
      </c>
      <c r="AZ16" s="167" t="s">
        <v>243</v>
      </c>
      <c r="BA16" s="167" t="s">
        <v>243</v>
      </c>
      <c r="BB16" s="167" t="s">
        <v>243</v>
      </c>
      <c r="BC16" s="167" t="s">
        <v>243</v>
      </c>
      <c r="BD16" s="167" t="s">
        <v>252</v>
      </c>
      <c r="BE16" s="167" t="s">
        <v>343</v>
      </c>
      <c r="BF16" s="167" t="s">
        <v>345</v>
      </c>
      <c r="BG16" s="167" t="s">
        <v>252</v>
      </c>
      <c r="BH16" s="167" t="s">
        <v>250</v>
      </c>
      <c r="BI16" s="167" t="s">
        <v>251</v>
      </c>
      <c r="BJ16" s="144" cm="1">
        <f t="array" ref="BJ16">SUMPRODUCT(COUNTIF(F16:BI16, {"C","CV","C-I","SM"}))</f>
        <v>10</v>
      </c>
      <c r="BK16" s="160">
        <f t="shared" si="1"/>
        <v>0</v>
      </c>
      <c r="BL16" s="160">
        <f t="shared" si="2"/>
        <v>10</v>
      </c>
      <c r="BM16" s="160">
        <f t="shared" si="3"/>
        <v>0</v>
      </c>
      <c r="BN16" s="159">
        <f t="shared" si="4"/>
        <v>1</v>
      </c>
      <c r="BO16" s="161" cm="1">
        <f t="array" ref="BO16">SUMPRODUCT(COUNTIF(F16:BI16, {"PC","OFF","W"}))</f>
        <v>16</v>
      </c>
      <c r="BP16" s="144">
        <f t="shared" si="0"/>
        <v>0</v>
      </c>
      <c r="BQ16" s="144">
        <f t="shared" si="5"/>
        <v>0</v>
      </c>
      <c r="BR16" s="144"/>
      <c r="BS16" s="83"/>
      <c r="BT16" s="155"/>
      <c r="BU16" s="59"/>
      <c r="BV16" s="155" t="s">
        <v>220</v>
      </c>
      <c r="BW16" s="155" t="s">
        <v>220</v>
      </c>
    </row>
    <row r="17" spans="1:75" ht="21" x14ac:dyDescent="0.25">
      <c r="A17" s="192" t="s">
        <v>119</v>
      </c>
      <c r="B17" s="192"/>
      <c r="C17" s="82" t="s">
        <v>223</v>
      </c>
      <c r="D17" s="26" t="s">
        <v>254</v>
      </c>
      <c r="E17" s="30" t="s">
        <v>585</v>
      </c>
      <c r="F17" s="167" t="s">
        <v>252</v>
      </c>
      <c r="G17" s="167" t="s">
        <v>324</v>
      </c>
      <c r="H17" s="167" t="s">
        <v>324</v>
      </c>
      <c r="I17" s="167" t="s">
        <v>252</v>
      </c>
      <c r="J17" s="167" t="s">
        <v>243</v>
      </c>
      <c r="K17" s="167" t="s">
        <v>243</v>
      </c>
      <c r="L17" s="167" t="s">
        <v>243</v>
      </c>
      <c r="M17" s="167" t="s">
        <v>243</v>
      </c>
      <c r="N17" s="167" t="s">
        <v>248</v>
      </c>
      <c r="O17" s="167" t="s">
        <v>249</v>
      </c>
      <c r="P17" s="167" t="s">
        <v>252</v>
      </c>
      <c r="Q17" s="167" t="s">
        <v>324</v>
      </c>
      <c r="R17" s="167" t="s">
        <v>324</v>
      </c>
      <c r="S17" s="167" t="s">
        <v>250</v>
      </c>
      <c r="T17" s="167" t="s">
        <v>252</v>
      </c>
      <c r="U17" s="167" t="s">
        <v>324</v>
      </c>
      <c r="V17" s="167" t="s">
        <v>324</v>
      </c>
      <c r="W17" s="167" t="s">
        <v>252</v>
      </c>
      <c r="X17" s="167" t="s">
        <v>243</v>
      </c>
      <c r="Y17" s="167" t="s">
        <v>243</v>
      </c>
      <c r="Z17" s="167" t="s">
        <v>243</v>
      </c>
      <c r="AA17" s="167" t="s">
        <v>243</v>
      </c>
      <c r="AB17" s="167" t="s">
        <v>324</v>
      </c>
      <c r="AC17" s="167" t="s">
        <v>262</v>
      </c>
      <c r="AD17" s="167" t="s">
        <v>324</v>
      </c>
      <c r="AE17" s="167" t="s">
        <v>348</v>
      </c>
      <c r="AF17" s="167" t="s">
        <v>324</v>
      </c>
      <c r="AG17" s="167" t="s">
        <v>269</v>
      </c>
      <c r="AH17" s="167" t="s">
        <v>324</v>
      </c>
      <c r="AI17" s="167" t="s">
        <v>324</v>
      </c>
      <c r="AJ17" s="167" t="s">
        <v>324</v>
      </c>
      <c r="AK17" s="167" t="s">
        <v>252</v>
      </c>
      <c r="AL17" s="167" t="s">
        <v>243</v>
      </c>
      <c r="AM17" s="167" t="s">
        <v>243</v>
      </c>
      <c r="AN17" s="167" t="s">
        <v>243</v>
      </c>
      <c r="AO17" s="167" t="s">
        <v>243</v>
      </c>
      <c r="AP17" s="167" t="s">
        <v>324</v>
      </c>
      <c r="AQ17" s="167" t="s">
        <v>348</v>
      </c>
      <c r="AR17" s="167" t="s">
        <v>252</v>
      </c>
      <c r="AS17" s="167" t="s">
        <v>324</v>
      </c>
      <c r="AT17" s="167" t="s">
        <v>324</v>
      </c>
      <c r="AU17" s="167" t="s">
        <v>272</v>
      </c>
      <c r="AV17" s="167" t="s">
        <v>252</v>
      </c>
      <c r="AW17" s="167" t="s">
        <v>324</v>
      </c>
      <c r="AX17" s="167" t="s">
        <v>324</v>
      </c>
      <c r="AY17" s="167" t="s">
        <v>252</v>
      </c>
      <c r="AZ17" s="167" t="s">
        <v>243</v>
      </c>
      <c r="BA17" s="167" t="s">
        <v>243</v>
      </c>
      <c r="BB17" s="167" t="s">
        <v>243</v>
      </c>
      <c r="BC17" s="167" t="s">
        <v>243</v>
      </c>
      <c r="BD17" s="167" t="s">
        <v>324</v>
      </c>
      <c r="BE17" s="167" t="s">
        <v>252</v>
      </c>
      <c r="BF17" s="167" t="s">
        <v>324</v>
      </c>
      <c r="BG17" s="167" t="s">
        <v>252</v>
      </c>
      <c r="BH17" s="167" t="s">
        <v>250</v>
      </c>
      <c r="BI17" s="167" t="s">
        <v>251</v>
      </c>
      <c r="BJ17" s="144" cm="1">
        <f t="array" ref="BJ17">SUMPRODUCT(COUNTIF(F17:BI17, {"C","CV","C-I","SM"}))</f>
        <v>11</v>
      </c>
      <c r="BK17" s="160">
        <f t="shared" si="1"/>
        <v>0</v>
      </c>
      <c r="BL17" s="160">
        <f t="shared" si="2"/>
        <v>11</v>
      </c>
      <c r="BM17" s="160">
        <f t="shared" si="3"/>
        <v>0</v>
      </c>
      <c r="BN17" s="159">
        <f t="shared" si="4"/>
        <v>2</v>
      </c>
      <c r="BO17" s="161" cm="1">
        <f t="array" ref="BO17">SUMPRODUCT(COUNTIF(F17:BI17, {"PC","OFF","W"}))</f>
        <v>16</v>
      </c>
      <c r="BP17" s="144">
        <f t="shared" si="0"/>
        <v>0</v>
      </c>
      <c r="BQ17" s="144">
        <f t="shared" si="5"/>
        <v>0</v>
      </c>
      <c r="BR17" s="144"/>
      <c r="BS17" s="83"/>
      <c r="BT17" s="155"/>
      <c r="BU17" s="155"/>
      <c r="BV17" s="155"/>
      <c r="BW17" s="155"/>
    </row>
    <row r="18" spans="1:75" ht="21" x14ac:dyDescent="0.25">
      <c r="A18" s="191" t="s">
        <v>87</v>
      </c>
      <c r="B18" s="191"/>
      <c r="C18" s="82" t="s">
        <v>223</v>
      </c>
      <c r="D18" s="26" t="s">
        <v>254</v>
      </c>
      <c r="E18" s="30" t="s">
        <v>106</v>
      </c>
      <c r="F18" s="167" t="s">
        <v>209</v>
      </c>
      <c r="G18" s="167" t="s">
        <v>209</v>
      </c>
      <c r="H18" s="167" t="s">
        <v>209</v>
      </c>
      <c r="I18" s="167" t="s">
        <v>209</v>
      </c>
      <c r="J18" s="167" t="s">
        <v>209</v>
      </c>
      <c r="K18" s="167" t="s">
        <v>209</v>
      </c>
      <c r="L18" s="167" t="s">
        <v>209</v>
      </c>
      <c r="M18" s="167" t="s">
        <v>209</v>
      </c>
      <c r="N18" s="167" t="s">
        <v>209</v>
      </c>
      <c r="O18" s="167" t="s">
        <v>209</v>
      </c>
      <c r="P18" s="167" t="s">
        <v>209</v>
      </c>
      <c r="Q18" s="167" t="s">
        <v>252</v>
      </c>
      <c r="R18" s="167" t="s">
        <v>209</v>
      </c>
      <c r="S18" s="167" t="s">
        <v>209</v>
      </c>
      <c r="T18" s="167" t="s">
        <v>209</v>
      </c>
      <c r="U18" s="167" t="s">
        <v>209</v>
      </c>
      <c r="V18" s="167" t="s">
        <v>209</v>
      </c>
      <c r="W18" s="167" t="s">
        <v>209</v>
      </c>
      <c r="X18" s="167" t="s">
        <v>209</v>
      </c>
      <c r="Y18" s="167" t="s">
        <v>209</v>
      </c>
      <c r="Z18" s="167" t="s">
        <v>209</v>
      </c>
      <c r="AA18" s="167" t="s">
        <v>209</v>
      </c>
      <c r="AB18" s="167" t="s">
        <v>209</v>
      </c>
      <c r="AC18" s="167" t="s">
        <v>209</v>
      </c>
      <c r="AD18" s="167" t="s">
        <v>209</v>
      </c>
      <c r="AE18" s="167" t="s">
        <v>252</v>
      </c>
      <c r="AF18" s="167" t="s">
        <v>209</v>
      </c>
      <c r="AG18" s="167" t="s">
        <v>209</v>
      </c>
      <c r="AH18" s="167" t="s">
        <v>209</v>
      </c>
      <c r="AI18" s="167" t="s">
        <v>209</v>
      </c>
      <c r="AJ18" s="167" t="s">
        <v>209</v>
      </c>
      <c r="AK18" s="167" t="s">
        <v>209</v>
      </c>
      <c r="AL18" s="167" t="s">
        <v>209</v>
      </c>
      <c r="AM18" s="167" t="s">
        <v>209</v>
      </c>
      <c r="AN18" s="167" t="s">
        <v>209</v>
      </c>
      <c r="AO18" s="167" t="s">
        <v>209</v>
      </c>
      <c r="AP18" s="167" t="s">
        <v>209</v>
      </c>
      <c r="AQ18" s="167" t="s">
        <v>209</v>
      </c>
      <c r="AR18" s="167" t="s">
        <v>209</v>
      </c>
      <c r="AS18" s="167" t="s">
        <v>252</v>
      </c>
      <c r="AT18" s="167" t="s">
        <v>209</v>
      </c>
      <c r="AU18" s="167" t="s">
        <v>209</v>
      </c>
      <c r="AV18" s="167" t="s">
        <v>209</v>
      </c>
      <c r="AW18" s="167" t="s">
        <v>209</v>
      </c>
      <c r="AX18" s="167" t="s">
        <v>209</v>
      </c>
      <c r="AY18" s="167" t="s">
        <v>209</v>
      </c>
      <c r="AZ18" s="167" t="s">
        <v>209</v>
      </c>
      <c r="BA18" s="167" t="s">
        <v>209</v>
      </c>
      <c r="BB18" s="167" t="s">
        <v>209</v>
      </c>
      <c r="BC18" s="167" t="s">
        <v>209</v>
      </c>
      <c r="BD18" s="167" t="s">
        <v>209</v>
      </c>
      <c r="BE18" s="167" t="s">
        <v>209</v>
      </c>
      <c r="BF18" s="167" t="s">
        <v>209</v>
      </c>
      <c r="BG18" s="167" t="s">
        <v>252</v>
      </c>
      <c r="BH18" s="167" t="s">
        <v>209</v>
      </c>
      <c r="BI18" s="167" t="s">
        <v>209</v>
      </c>
      <c r="BJ18" s="144" cm="1">
        <f t="array" ref="BJ18">SUMPRODUCT(COUNTIF(F18:BI18, {"C","CV","C-I","SM"}))</f>
        <v>4</v>
      </c>
      <c r="BK18" s="160">
        <f t="shared" si="1"/>
        <v>0</v>
      </c>
      <c r="BL18" s="160">
        <f t="shared" si="2"/>
        <v>4</v>
      </c>
      <c r="BM18" s="160">
        <f t="shared" si="3"/>
        <v>0</v>
      </c>
      <c r="BN18" s="159">
        <f t="shared" si="4"/>
        <v>0</v>
      </c>
      <c r="BO18" s="161" cm="1">
        <f t="array" ref="BO18">SUMPRODUCT(COUNTIF(F18:BI18, {"PC","OFF","W"}))</f>
        <v>0</v>
      </c>
      <c r="BP18" s="144">
        <f t="shared" si="0"/>
        <v>0</v>
      </c>
      <c r="BQ18" s="144">
        <f t="shared" si="5"/>
        <v>52</v>
      </c>
      <c r="BR18" s="144"/>
      <c r="BS18" s="83"/>
      <c r="BT18" s="155"/>
      <c r="BU18" s="155"/>
      <c r="BV18" s="155"/>
      <c r="BW18" s="155"/>
    </row>
    <row r="19" spans="1:75" ht="21" x14ac:dyDescent="0.25">
      <c r="A19" s="192" t="s">
        <v>383</v>
      </c>
      <c r="B19" s="192"/>
      <c r="C19" s="82" t="s">
        <v>223</v>
      </c>
      <c r="D19" s="26" t="s">
        <v>254</v>
      </c>
      <c r="E19" s="30" t="s">
        <v>586</v>
      </c>
      <c r="F19" s="167" t="s">
        <v>252</v>
      </c>
      <c r="G19" s="167" t="s">
        <v>348</v>
      </c>
      <c r="H19" s="167" t="s">
        <v>322</v>
      </c>
      <c r="I19" s="167" t="s">
        <v>322</v>
      </c>
      <c r="J19" s="167" t="s">
        <v>243</v>
      </c>
      <c r="K19" s="167" t="s">
        <v>243</v>
      </c>
      <c r="L19" s="167" t="s">
        <v>243</v>
      </c>
      <c r="M19" s="167" t="s">
        <v>243</v>
      </c>
      <c r="N19" s="167" t="s">
        <v>248</v>
      </c>
      <c r="O19" s="167" t="s">
        <v>249</v>
      </c>
      <c r="P19" s="167" t="s">
        <v>382</v>
      </c>
      <c r="Q19" s="167" t="s">
        <v>382</v>
      </c>
      <c r="R19" s="167" t="s">
        <v>311</v>
      </c>
      <c r="S19" s="167" t="s">
        <v>311</v>
      </c>
      <c r="T19" s="167" t="s">
        <v>311</v>
      </c>
      <c r="U19" s="167" t="s">
        <v>311</v>
      </c>
      <c r="V19" s="167" t="s">
        <v>311</v>
      </c>
      <c r="W19" s="167" t="s">
        <v>311</v>
      </c>
      <c r="X19" s="167" t="s">
        <v>311</v>
      </c>
      <c r="Y19" s="167" t="s">
        <v>311</v>
      </c>
      <c r="Z19" s="167" t="s">
        <v>311</v>
      </c>
      <c r="AA19" s="167" t="s">
        <v>311</v>
      </c>
      <c r="AB19" s="167" t="s">
        <v>311</v>
      </c>
      <c r="AC19" s="167" t="s">
        <v>311</v>
      </c>
      <c r="AD19" s="167" t="s">
        <v>311</v>
      </c>
      <c r="AE19" s="167" t="s">
        <v>311</v>
      </c>
      <c r="AF19" s="167" t="s">
        <v>311</v>
      </c>
      <c r="AG19" s="167" t="s">
        <v>311</v>
      </c>
      <c r="AH19" s="167" t="s">
        <v>311</v>
      </c>
      <c r="AI19" s="167" t="s">
        <v>311</v>
      </c>
      <c r="AJ19" s="167" t="s">
        <v>311</v>
      </c>
      <c r="AK19" s="167" t="s">
        <v>311</v>
      </c>
      <c r="AL19" s="167" t="s">
        <v>382</v>
      </c>
      <c r="AM19" s="167" t="s">
        <v>382</v>
      </c>
      <c r="AN19" s="167" t="s">
        <v>243</v>
      </c>
      <c r="AO19" s="167" t="s">
        <v>243</v>
      </c>
      <c r="AP19" s="167" t="s">
        <v>252</v>
      </c>
      <c r="AQ19" s="167" t="s">
        <v>262</v>
      </c>
      <c r="AR19" s="167" t="s">
        <v>322</v>
      </c>
      <c r="AS19" s="167" t="s">
        <v>322</v>
      </c>
      <c r="AT19" s="167" t="s">
        <v>309</v>
      </c>
      <c r="AU19" s="167" t="s">
        <v>272</v>
      </c>
      <c r="AV19" s="167" t="s">
        <v>322</v>
      </c>
      <c r="AW19" s="167" t="s">
        <v>322</v>
      </c>
      <c r="AX19" s="167" t="s">
        <v>322</v>
      </c>
      <c r="AY19" s="167" t="s">
        <v>322</v>
      </c>
      <c r="AZ19" s="167" t="s">
        <v>243</v>
      </c>
      <c r="BA19" s="167" t="s">
        <v>243</v>
      </c>
      <c r="BB19" s="167" t="s">
        <v>243</v>
      </c>
      <c r="BC19" s="167" t="s">
        <v>243</v>
      </c>
      <c r="BD19" s="167" t="s">
        <v>348</v>
      </c>
      <c r="BE19" s="167" t="s">
        <v>252</v>
      </c>
      <c r="BF19" s="167" t="s">
        <v>322</v>
      </c>
      <c r="BG19" s="167" t="s">
        <v>322</v>
      </c>
      <c r="BH19" s="167" t="s">
        <v>250</v>
      </c>
      <c r="BI19" s="167" t="s">
        <v>251</v>
      </c>
      <c r="BJ19" s="144" cm="1">
        <f t="array" ref="BJ19">SUMPRODUCT(COUNTIF(F19:BI19, {"C","CV","C-I","SM"}))</f>
        <v>4</v>
      </c>
      <c r="BK19" s="160">
        <f t="shared" si="1"/>
        <v>1</v>
      </c>
      <c r="BL19" s="160">
        <f t="shared" si="2"/>
        <v>5</v>
      </c>
      <c r="BM19" s="160">
        <f t="shared" si="3"/>
        <v>0</v>
      </c>
      <c r="BN19" s="159">
        <f t="shared" si="4"/>
        <v>2</v>
      </c>
      <c r="BO19" s="161" cm="1">
        <f t="array" ref="BO19">SUMPRODUCT(COUNTIF(F19:BI19, {"PC","OFF","W"}))</f>
        <v>10</v>
      </c>
      <c r="BP19" s="144">
        <f t="shared" si="0"/>
        <v>0</v>
      </c>
      <c r="BQ19" s="144">
        <f t="shared" si="5"/>
        <v>0</v>
      </c>
      <c r="BR19" s="144"/>
      <c r="BS19" s="83"/>
      <c r="BT19" s="155"/>
      <c r="BU19" s="155"/>
      <c r="BV19" s="155"/>
      <c r="BW19" s="155"/>
    </row>
    <row r="20" spans="1:75" ht="21" x14ac:dyDescent="0.25">
      <c r="A20" s="185" t="s">
        <v>40</v>
      </c>
      <c r="B20" s="185"/>
      <c r="C20" s="82" t="s">
        <v>222</v>
      </c>
      <c r="D20" s="26" t="s">
        <v>255</v>
      </c>
      <c r="E20" s="30" t="s">
        <v>587</v>
      </c>
      <c r="F20" s="167" t="s">
        <v>253</v>
      </c>
      <c r="G20" s="167" t="s">
        <v>253</v>
      </c>
      <c r="H20" s="167" t="s">
        <v>253</v>
      </c>
      <c r="I20" s="167" t="s">
        <v>253</v>
      </c>
      <c r="J20" s="167" t="s">
        <v>243</v>
      </c>
      <c r="K20" s="167" t="s">
        <v>243</v>
      </c>
      <c r="L20" s="167" t="s">
        <v>243</v>
      </c>
      <c r="M20" s="167" t="s">
        <v>243</v>
      </c>
      <c r="N20" s="167" t="s">
        <v>248</v>
      </c>
      <c r="O20" s="167" t="s">
        <v>249</v>
      </c>
      <c r="P20" s="167" t="s">
        <v>346</v>
      </c>
      <c r="Q20" s="167" t="s">
        <v>346</v>
      </c>
      <c r="R20" s="167" t="s">
        <v>252</v>
      </c>
      <c r="S20" s="167" t="s">
        <v>250</v>
      </c>
      <c r="T20" s="167" t="s">
        <v>346</v>
      </c>
      <c r="U20" s="167" t="s">
        <v>346</v>
      </c>
      <c r="V20" s="167" t="s">
        <v>346</v>
      </c>
      <c r="W20" s="167" t="s">
        <v>346</v>
      </c>
      <c r="X20" s="167" t="s">
        <v>243</v>
      </c>
      <c r="Y20" s="167" t="s">
        <v>243</v>
      </c>
      <c r="Z20" s="167" t="s">
        <v>243</v>
      </c>
      <c r="AA20" s="167" t="s">
        <v>243</v>
      </c>
      <c r="AB20" s="167" t="s">
        <v>346</v>
      </c>
      <c r="AC20" s="167" t="s">
        <v>252</v>
      </c>
      <c r="AD20" s="167" t="s">
        <v>346</v>
      </c>
      <c r="AE20" s="167" t="s">
        <v>346</v>
      </c>
      <c r="AF20" s="167" t="s">
        <v>252</v>
      </c>
      <c r="AG20" s="167" t="s">
        <v>269</v>
      </c>
      <c r="AH20" s="167" t="s">
        <v>346</v>
      </c>
      <c r="AI20" s="167" t="s">
        <v>346</v>
      </c>
      <c r="AJ20" s="167" t="s">
        <v>346</v>
      </c>
      <c r="AK20" s="167" t="s">
        <v>346</v>
      </c>
      <c r="AL20" s="167" t="s">
        <v>243</v>
      </c>
      <c r="AM20" s="167" t="s">
        <v>243</v>
      </c>
      <c r="AN20" s="167" t="s">
        <v>243</v>
      </c>
      <c r="AO20" s="167" t="s">
        <v>243</v>
      </c>
      <c r="AP20" s="167" t="s">
        <v>346</v>
      </c>
      <c r="AQ20" s="167" t="s">
        <v>252</v>
      </c>
      <c r="AR20" s="167" t="s">
        <v>346</v>
      </c>
      <c r="AS20" s="167" t="s">
        <v>346</v>
      </c>
      <c r="AT20" s="167" t="s">
        <v>252</v>
      </c>
      <c r="AU20" s="167" t="s">
        <v>272</v>
      </c>
      <c r="AV20" s="167" t="s">
        <v>346</v>
      </c>
      <c r="AW20" s="167" t="s">
        <v>346</v>
      </c>
      <c r="AX20" s="167" t="s">
        <v>346</v>
      </c>
      <c r="AY20" s="167" t="s">
        <v>346</v>
      </c>
      <c r="AZ20" s="167" t="s">
        <v>243</v>
      </c>
      <c r="BA20" s="167" t="s">
        <v>243</v>
      </c>
      <c r="BB20" s="167" t="s">
        <v>243</v>
      </c>
      <c r="BC20" s="167" t="s">
        <v>243</v>
      </c>
      <c r="BD20" s="167" t="s">
        <v>346</v>
      </c>
      <c r="BE20" s="167" t="s">
        <v>252</v>
      </c>
      <c r="BF20" s="167" t="s">
        <v>346</v>
      </c>
      <c r="BG20" s="167" t="s">
        <v>346</v>
      </c>
      <c r="BH20" s="167" t="s">
        <v>250</v>
      </c>
      <c r="BI20" s="167" t="s">
        <v>251</v>
      </c>
      <c r="BJ20" s="144" cm="1">
        <f t="array" ref="BJ20">SUMPRODUCT(COUNTIF(F20:BI20, {"C","CV","C-I","SM"}))</f>
        <v>6</v>
      </c>
      <c r="BK20" s="160">
        <f t="shared" si="1"/>
        <v>0</v>
      </c>
      <c r="BL20" s="160">
        <f t="shared" si="2"/>
        <v>6</v>
      </c>
      <c r="BM20" s="160">
        <f t="shared" si="3"/>
        <v>0</v>
      </c>
      <c r="BN20" s="159">
        <f t="shared" si="4"/>
        <v>0</v>
      </c>
      <c r="BO20" s="161" cm="1">
        <f t="array" ref="BO20">SUMPRODUCT(COUNTIF(F20:BI20, {"PC","OFF","W"}))</f>
        <v>16</v>
      </c>
      <c r="BP20" s="144">
        <f t="shared" si="0"/>
        <v>4</v>
      </c>
      <c r="BQ20" s="144">
        <f t="shared" si="5"/>
        <v>0</v>
      </c>
      <c r="BR20" s="144"/>
      <c r="BS20" s="83"/>
      <c r="BT20" s="155"/>
      <c r="BU20" s="155"/>
      <c r="BV20" s="155"/>
      <c r="BW20" s="155"/>
    </row>
    <row r="21" spans="1:75" ht="21" x14ac:dyDescent="0.25">
      <c r="A21" s="185" t="s">
        <v>38</v>
      </c>
      <c r="B21" s="185"/>
      <c r="C21" s="82" t="s">
        <v>222</v>
      </c>
      <c r="D21" s="26" t="s">
        <v>255</v>
      </c>
      <c r="E21" s="30" t="s">
        <v>393</v>
      </c>
      <c r="F21" s="167" t="s">
        <v>253</v>
      </c>
      <c r="G21" s="167" t="s">
        <v>253</v>
      </c>
      <c r="H21" s="167" t="s">
        <v>253</v>
      </c>
      <c r="I21" s="167" t="s">
        <v>253</v>
      </c>
      <c r="J21" s="167" t="s">
        <v>253</v>
      </c>
      <c r="K21" s="167" t="s">
        <v>253</v>
      </c>
      <c r="L21" s="167" t="s">
        <v>253</v>
      </c>
      <c r="M21" s="167" t="s">
        <v>253</v>
      </c>
      <c r="N21" s="167" t="s">
        <v>248</v>
      </c>
      <c r="O21" s="167" t="s">
        <v>249</v>
      </c>
      <c r="P21" s="167" t="s">
        <v>318</v>
      </c>
      <c r="Q21" s="167" t="s">
        <v>252</v>
      </c>
      <c r="R21" s="167" t="s">
        <v>272</v>
      </c>
      <c r="S21" s="167" t="s">
        <v>250</v>
      </c>
      <c r="T21" s="167" t="s">
        <v>310</v>
      </c>
      <c r="U21" s="167" t="s">
        <v>258</v>
      </c>
      <c r="V21" s="167" t="s">
        <v>321</v>
      </c>
      <c r="W21" s="167" t="s">
        <v>252</v>
      </c>
      <c r="X21" s="167" t="s">
        <v>243</v>
      </c>
      <c r="Y21" s="167" t="s">
        <v>243</v>
      </c>
      <c r="Z21" s="167" t="s">
        <v>243</v>
      </c>
      <c r="AA21" s="167" t="s">
        <v>243</v>
      </c>
      <c r="AB21" s="167" t="s">
        <v>310</v>
      </c>
      <c r="AC21" s="167" t="s">
        <v>252</v>
      </c>
      <c r="AD21" s="167" t="s">
        <v>310</v>
      </c>
      <c r="AE21" s="167" t="s">
        <v>252</v>
      </c>
      <c r="AF21" s="167" t="s">
        <v>272</v>
      </c>
      <c r="AG21" s="167" t="s">
        <v>269</v>
      </c>
      <c r="AH21" s="167" t="s">
        <v>310</v>
      </c>
      <c r="AI21" s="167" t="s">
        <v>258</v>
      </c>
      <c r="AJ21" s="167" t="s">
        <v>321</v>
      </c>
      <c r="AK21" s="167" t="s">
        <v>252</v>
      </c>
      <c r="AL21" s="167" t="s">
        <v>243</v>
      </c>
      <c r="AM21" s="167" t="s">
        <v>243</v>
      </c>
      <c r="AN21" s="167" t="s">
        <v>243</v>
      </c>
      <c r="AO21" s="167" t="s">
        <v>243</v>
      </c>
      <c r="AP21" s="167" t="s">
        <v>252</v>
      </c>
      <c r="AQ21" s="167" t="s">
        <v>320</v>
      </c>
      <c r="AR21" s="167" t="s">
        <v>310</v>
      </c>
      <c r="AS21" s="167" t="s">
        <v>252</v>
      </c>
      <c r="AT21" s="167" t="s">
        <v>272</v>
      </c>
      <c r="AU21" s="167" t="s">
        <v>272</v>
      </c>
      <c r="AV21" s="167" t="s">
        <v>310</v>
      </c>
      <c r="AW21" s="167" t="s">
        <v>252</v>
      </c>
      <c r="AX21" s="167" t="s">
        <v>321</v>
      </c>
      <c r="AY21" s="167" t="s">
        <v>252</v>
      </c>
      <c r="AZ21" s="167" t="s">
        <v>243</v>
      </c>
      <c r="BA21" s="167" t="s">
        <v>243</v>
      </c>
      <c r="BB21" s="167" t="s">
        <v>243</v>
      </c>
      <c r="BC21" s="167" t="s">
        <v>243</v>
      </c>
      <c r="BD21" s="167" t="s">
        <v>310</v>
      </c>
      <c r="BE21" s="167" t="s">
        <v>324</v>
      </c>
      <c r="BF21" s="167" t="s">
        <v>310</v>
      </c>
      <c r="BG21" s="167" t="s">
        <v>252</v>
      </c>
      <c r="BH21" s="167" t="s">
        <v>250</v>
      </c>
      <c r="BI21" s="167" t="s">
        <v>251</v>
      </c>
      <c r="BJ21" s="144" cm="1">
        <f t="array" ref="BJ21">SUMPRODUCT(COUNTIF(F21:BI21, {"C","CV","C-I","SM"}))</f>
        <v>10</v>
      </c>
      <c r="BK21" s="160">
        <f>COUNTIF(F21:BI21, "CV")</f>
        <v>0</v>
      </c>
      <c r="BL21" s="160">
        <f t="shared" si="2"/>
        <v>10</v>
      </c>
      <c r="BM21" s="160">
        <f>COUNTIF(F21:BI21, "NF")</f>
        <v>0</v>
      </c>
      <c r="BN21" s="159">
        <f>COUNTIF(F21:BI21, "CC")</f>
        <v>0</v>
      </c>
      <c r="BO21" s="161" cm="1">
        <f t="array" ref="BO21">SUMPRODUCT(COUNTIF(F21:BI21, {"PC","OFF","W"}))</f>
        <v>12</v>
      </c>
      <c r="BP21" s="144">
        <f t="shared" si="0"/>
        <v>8</v>
      </c>
      <c r="BQ21" s="144">
        <f>COUNTIF(F21:BI21, "FMIT")</f>
        <v>0</v>
      </c>
      <c r="BR21" s="144"/>
      <c r="BS21" s="83"/>
      <c r="BT21" s="155"/>
      <c r="BU21" s="155"/>
      <c r="BV21" s="155"/>
      <c r="BW21" s="155"/>
    </row>
    <row r="22" spans="1:75" ht="21" x14ac:dyDescent="0.25">
      <c r="A22" s="172" t="s">
        <v>44</v>
      </c>
      <c r="B22" s="91" t="s">
        <v>43</v>
      </c>
      <c r="C22" s="82" t="s">
        <v>222</v>
      </c>
      <c r="D22" s="26" t="s">
        <v>255</v>
      </c>
      <c r="E22" s="30" t="s">
        <v>588</v>
      </c>
      <c r="F22" s="167" t="s">
        <v>384</v>
      </c>
      <c r="G22" s="167" t="s">
        <v>384</v>
      </c>
      <c r="H22" s="167" t="s">
        <v>384</v>
      </c>
      <c r="I22" s="167" t="s">
        <v>384</v>
      </c>
      <c r="J22" s="167" t="s">
        <v>384</v>
      </c>
      <c r="K22" s="167" t="s">
        <v>384</v>
      </c>
      <c r="L22" s="167" t="s">
        <v>384</v>
      </c>
      <c r="M22" s="167" t="s">
        <v>384</v>
      </c>
      <c r="N22" s="167" t="s">
        <v>384</v>
      </c>
      <c r="O22" s="167" t="s">
        <v>384</v>
      </c>
      <c r="P22" s="167" t="s">
        <v>384</v>
      </c>
      <c r="Q22" s="167" t="s">
        <v>384</v>
      </c>
      <c r="R22" s="167" t="s">
        <v>352</v>
      </c>
      <c r="S22" s="167" t="s">
        <v>353</v>
      </c>
      <c r="T22" s="167" t="s">
        <v>384</v>
      </c>
      <c r="U22" s="167" t="s">
        <v>384</v>
      </c>
      <c r="V22" s="167" t="s">
        <v>384</v>
      </c>
      <c r="W22" s="167" t="s">
        <v>384</v>
      </c>
      <c r="X22" s="167" t="s">
        <v>384</v>
      </c>
      <c r="Y22" s="167" t="s">
        <v>384</v>
      </c>
      <c r="Z22" s="167" t="s">
        <v>384</v>
      </c>
      <c r="AA22" s="167" t="s">
        <v>384</v>
      </c>
      <c r="AB22" s="167" t="s">
        <v>384</v>
      </c>
      <c r="AC22" s="167" t="s">
        <v>384</v>
      </c>
      <c r="AD22" s="167" t="s">
        <v>384</v>
      </c>
      <c r="AE22" s="167" t="s">
        <v>384</v>
      </c>
      <c r="AF22" s="167" t="s">
        <v>384</v>
      </c>
      <c r="AG22" s="167" t="s">
        <v>269</v>
      </c>
      <c r="AH22" s="167" t="s">
        <v>384</v>
      </c>
      <c r="AI22" s="167" t="s">
        <v>384</v>
      </c>
      <c r="AJ22" s="167" t="s">
        <v>312</v>
      </c>
      <c r="AK22" s="167" t="s">
        <v>282</v>
      </c>
      <c r="AL22" s="167" t="s">
        <v>384</v>
      </c>
      <c r="AM22" s="167" t="s">
        <v>384</v>
      </c>
      <c r="AN22" s="167" t="s">
        <v>384</v>
      </c>
      <c r="AO22" s="167" t="s">
        <v>384</v>
      </c>
      <c r="AP22" s="167" t="s">
        <v>384</v>
      </c>
      <c r="AQ22" s="167" t="s">
        <v>384</v>
      </c>
      <c r="AR22" s="167" t="s">
        <v>384</v>
      </c>
      <c r="AS22" s="167" t="s">
        <v>384</v>
      </c>
      <c r="AT22" s="167" t="s">
        <v>384</v>
      </c>
      <c r="AU22" s="167" t="s">
        <v>384</v>
      </c>
      <c r="AV22" s="167" t="s">
        <v>384</v>
      </c>
      <c r="AW22" s="167" t="s">
        <v>384</v>
      </c>
      <c r="AX22" s="167" t="s">
        <v>312</v>
      </c>
      <c r="AY22" s="167" t="s">
        <v>282</v>
      </c>
      <c r="AZ22" s="167" t="s">
        <v>243</v>
      </c>
      <c r="BA22" s="167" t="s">
        <v>243</v>
      </c>
      <c r="BB22" s="167" t="s">
        <v>243</v>
      </c>
      <c r="BC22" s="167" t="s">
        <v>243</v>
      </c>
      <c r="BD22" s="167" t="s">
        <v>384</v>
      </c>
      <c r="BE22" s="167" t="s">
        <v>384</v>
      </c>
      <c r="BF22" s="167" t="s">
        <v>384</v>
      </c>
      <c r="BG22" s="167" t="s">
        <v>384</v>
      </c>
      <c r="BH22" s="167" t="s">
        <v>250</v>
      </c>
      <c r="BI22" s="167" t="s">
        <v>384</v>
      </c>
      <c r="BJ22" s="144" cm="1">
        <f t="array" ref="BJ22">SUMPRODUCT(COUNTIF(F22:BI22, {"C","CV","C-I","SM"}))</f>
        <v>0</v>
      </c>
      <c r="BK22" s="160">
        <f t="shared" ref="BK22:BK28" si="6">COUNTIF(F22:BI22, "CV")</f>
        <v>0</v>
      </c>
      <c r="BL22" s="160">
        <f t="shared" si="2"/>
        <v>0</v>
      </c>
      <c r="BM22" s="160">
        <f t="shared" ref="BM22:BM28" si="7">COUNTIF(F22:BI22, "NF")</f>
        <v>0</v>
      </c>
      <c r="BN22" s="159">
        <f t="shared" ref="BN22:BN28" si="8">COUNTIF(F22:BI22, "CC")</f>
        <v>0</v>
      </c>
      <c r="BO22" s="161" cm="1">
        <f t="array" ref="BO22">SUMPRODUCT(COUNTIF(F22:BI22, {"PC","OFF","W"}))</f>
        <v>6</v>
      </c>
      <c r="BP22" s="144">
        <f t="shared" si="0"/>
        <v>0</v>
      </c>
      <c r="BQ22" s="144">
        <f t="shared" ref="BQ22:BQ28" si="9">COUNTIF(F22:BI22, "FMIT")</f>
        <v>0</v>
      </c>
      <c r="BR22" s="144"/>
      <c r="BS22" s="83"/>
      <c r="BT22" s="155"/>
      <c r="BU22" s="155"/>
      <c r="BV22" s="155"/>
      <c r="BW22" s="155"/>
    </row>
    <row r="23" spans="1:75" ht="21" x14ac:dyDescent="0.25">
      <c r="A23" s="184" t="s">
        <v>37</v>
      </c>
      <c r="B23" s="184"/>
      <c r="C23" s="82" t="s">
        <v>222</v>
      </c>
      <c r="D23" s="26" t="s">
        <v>255</v>
      </c>
      <c r="E23" s="30" t="s">
        <v>589</v>
      </c>
      <c r="F23" s="167" t="s">
        <v>328</v>
      </c>
      <c r="G23" s="167" t="s">
        <v>328</v>
      </c>
      <c r="H23" s="167" t="s">
        <v>328</v>
      </c>
      <c r="I23" s="167" t="s">
        <v>328</v>
      </c>
      <c r="J23" s="167" t="s">
        <v>328</v>
      </c>
      <c r="K23" s="167" t="s">
        <v>328</v>
      </c>
      <c r="L23" s="167" t="s">
        <v>328</v>
      </c>
      <c r="M23" s="167" t="s">
        <v>328</v>
      </c>
      <c r="N23" s="167" t="s">
        <v>328</v>
      </c>
      <c r="O23" s="167" t="s">
        <v>328</v>
      </c>
      <c r="P23" s="167" t="s">
        <v>328</v>
      </c>
      <c r="Q23" s="167" t="s">
        <v>328</v>
      </c>
      <c r="R23" s="167" t="s">
        <v>252</v>
      </c>
      <c r="S23" s="167" t="s">
        <v>250</v>
      </c>
      <c r="T23" s="167" t="s">
        <v>328</v>
      </c>
      <c r="U23" s="167" t="s">
        <v>328</v>
      </c>
      <c r="V23" s="167" t="s">
        <v>328</v>
      </c>
      <c r="W23" s="167" t="s">
        <v>328</v>
      </c>
      <c r="X23" s="167" t="s">
        <v>328</v>
      </c>
      <c r="Y23" s="167" t="s">
        <v>328</v>
      </c>
      <c r="Z23" s="167" t="s">
        <v>328</v>
      </c>
      <c r="AA23" s="167" t="s">
        <v>328</v>
      </c>
      <c r="AB23" s="167" t="s">
        <v>328</v>
      </c>
      <c r="AC23" s="167" t="s">
        <v>328</v>
      </c>
      <c r="AD23" s="167" t="s">
        <v>328</v>
      </c>
      <c r="AE23" s="167" t="s">
        <v>328</v>
      </c>
      <c r="AF23" s="167" t="s">
        <v>252</v>
      </c>
      <c r="AG23" s="167" t="s">
        <v>269</v>
      </c>
      <c r="AH23" s="167" t="s">
        <v>328</v>
      </c>
      <c r="AI23" s="167" t="s">
        <v>328</v>
      </c>
      <c r="AJ23" s="167" t="s">
        <v>328</v>
      </c>
      <c r="AK23" s="167" t="s">
        <v>328</v>
      </c>
      <c r="AL23" s="167" t="s">
        <v>328</v>
      </c>
      <c r="AM23" s="167" t="s">
        <v>328</v>
      </c>
      <c r="AN23" s="167" t="s">
        <v>328</v>
      </c>
      <c r="AO23" s="167" t="s">
        <v>328</v>
      </c>
      <c r="AP23" s="167" t="s">
        <v>328</v>
      </c>
      <c r="AQ23" s="167" t="s">
        <v>328</v>
      </c>
      <c r="AR23" s="167" t="s">
        <v>328</v>
      </c>
      <c r="AS23" s="167" t="s">
        <v>328</v>
      </c>
      <c r="AT23" s="167" t="s">
        <v>252</v>
      </c>
      <c r="AU23" s="167" t="s">
        <v>272</v>
      </c>
      <c r="AV23" s="167" t="s">
        <v>328</v>
      </c>
      <c r="AW23" s="167" t="s">
        <v>328</v>
      </c>
      <c r="AX23" s="167" t="s">
        <v>328</v>
      </c>
      <c r="AY23" s="167" t="s">
        <v>328</v>
      </c>
      <c r="AZ23" s="167" t="s">
        <v>328</v>
      </c>
      <c r="BA23" s="167" t="s">
        <v>328</v>
      </c>
      <c r="BB23" s="167" t="s">
        <v>328</v>
      </c>
      <c r="BC23" s="167" t="s">
        <v>328</v>
      </c>
      <c r="BD23" s="167" t="s">
        <v>328</v>
      </c>
      <c r="BE23" s="167" t="s">
        <v>328</v>
      </c>
      <c r="BF23" s="167" t="s">
        <v>328</v>
      </c>
      <c r="BG23" s="167" t="s">
        <v>312</v>
      </c>
      <c r="BH23" s="167" t="s">
        <v>250</v>
      </c>
      <c r="BI23" s="167" t="s">
        <v>251</v>
      </c>
      <c r="BJ23" s="144" cm="1">
        <f t="array" ref="BJ23">SUMPRODUCT(COUNTIF(F23:BI23, {"C","CV","C-I","SM"}))</f>
        <v>3</v>
      </c>
      <c r="BK23" s="160">
        <f t="shared" si="6"/>
        <v>0</v>
      </c>
      <c r="BL23" s="160">
        <f t="shared" si="2"/>
        <v>3</v>
      </c>
      <c r="BM23" s="160">
        <f t="shared" si="7"/>
        <v>0</v>
      </c>
      <c r="BN23" s="159">
        <f t="shared" si="8"/>
        <v>0</v>
      </c>
      <c r="BO23" s="161" cm="1">
        <f t="array" ref="BO23">SUMPRODUCT(COUNTIF(F23:BI23, {"PC","OFF","W"}))</f>
        <v>0</v>
      </c>
      <c r="BP23" s="144">
        <f t="shared" si="0"/>
        <v>0</v>
      </c>
      <c r="BQ23" s="144">
        <f t="shared" si="9"/>
        <v>0</v>
      </c>
      <c r="BR23" s="144"/>
      <c r="BS23" s="83"/>
      <c r="BT23" s="155"/>
      <c r="BU23" s="155"/>
      <c r="BV23" s="155"/>
      <c r="BW23" s="155"/>
    </row>
    <row r="24" spans="1:75" ht="21" x14ac:dyDescent="0.25">
      <c r="A24" s="184" t="s">
        <v>39</v>
      </c>
      <c r="B24" s="184"/>
      <c r="C24" s="82" t="s">
        <v>222</v>
      </c>
      <c r="D24" s="26" t="s">
        <v>255</v>
      </c>
      <c r="E24" s="30" t="s">
        <v>590</v>
      </c>
      <c r="F24" s="167" t="s">
        <v>366</v>
      </c>
      <c r="G24" s="167" t="s">
        <v>366</v>
      </c>
      <c r="H24" s="167" t="s">
        <v>366</v>
      </c>
      <c r="I24" s="167" t="s">
        <v>366</v>
      </c>
      <c r="J24" s="167" t="s">
        <v>366</v>
      </c>
      <c r="K24" s="167" t="s">
        <v>366</v>
      </c>
      <c r="L24" s="167" t="s">
        <v>366</v>
      </c>
      <c r="M24" s="167" t="s">
        <v>366</v>
      </c>
      <c r="N24" s="167" t="s">
        <v>366</v>
      </c>
      <c r="O24" s="167" t="s">
        <v>282</v>
      </c>
      <c r="P24" s="167" t="s">
        <v>282</v>
      </c>
      <c r="Q24" s="167" t="s">
        <v>282</v>
      </c>
      <c r="R24" s="167" t="s">
        <v>252</v>
      </c>
      <c r="S24" s="167" t="s">
        <v>250</v>
      </c>
      <c r="T24" s="167" t="s">
        <v>366</v>
      </c>
      <c r="U24" s="167" t="s">
        <v>366</v>
      </c>
      <c r="V24" s="167" t="s">
        <v>366</v>
      </c>
      <c r="W24" s="167" t="s">
        <v>366</v>
      </c>
      <c r="X24" s="167" t="s">
        <v>366</v>
      </c>
      <c r="Y24" s="167" t="s">
        <v>366</v>
      </c>
      <c r="Z24" s="167" t="s">
        <v>366</v>
      </c>
      <c r="AA24" s="167" t="s">
        <v>366</v>
      </c>
      <c r="AB24" s="167" t="s">
        <v>366</v>
      </c>
      <c r="AC24" s="167" t="s">
        <v>282</v>
      </c>
      <c r="AD24" s="167" t="s">
        <v>282</v>
      </c>
      <c r="AE24" s="167" t="s">
        <v>282</v>
      </c>
      <c r="AF24" s="167" t="s">
        <v>252</v>
      </c>
      <c r="AG24" s="167" t="s">
        <v>269</v>
      </c>
      <c r="AH24" s="167" t="s">
        <v>366</v>
      </c>
      <c r="AI24" s="167" t="s">
        <v>366</v>
      </c>
      <c r="AJ24" s="167" t="s">
        <v>366</v>
      </c>
      <c r="AK24" s="167" t="s">
        <v>366</v>
      </c>
      <c r="AL24" s="167" t="s">
        <v>366</v>
      </c>
      <c r="AM24" s="167" t="s">
        <v>366</v>
      </c>
      <c r="AN24" s="167" t="s">
        <v>366</v>
      </c>
      <c r="AO24" s="167" t="s">
        <v>366</v>
      </c>
      <c r="AP24" s="167" t="s">
        <v>366</v>
      </c>
      <c r="AQ24" s="167" t="s">
        <v>282</v>
      </c>
      <c r="AR24" s="167" t="s">
        <v>282</v>
      </c>
      <c r="AS24" s="167" t="s">
        <v>282</v>
      </c>
      <c r="AT24" s="167" t="s">
        <v>252</v>
      </c>
      <c r="AU24" s="167" t="s">
        <v>272</v>
      </c>
      <c r="AV24" s="167" t="s">
        <v>366</v>
      </c>
      <c r="AW24" s="167" t="s">
        <v>366</v>
      </c>
      <c r="AX24" s="167" t="s">
        <v>366</v>
      </c>
      <c r="AY24" s="167" t="s">
        <v>366</v>
      </c>
      <c r="AZ24" s="167" t="s">
        <v>366</v>
      </c>
      <c r="BA24" s="167" t="s">
        <v>366</v>
      </c>
      <c r="BB24" s="167" t="s">
        <v>366</v>
      </c>
      <c r="BC24" s="167" t="s">
        <v>366</v>
      </c>
      <c r="BD24" s="167" t="s">
        <v>366</v>
      </c>
      <c r="BE24" s="167" t="s">
        <v>282</v>
      </c>
      <c r="BF24" s="167" t="s">
        <v>282</v>
      </c>
      <c r="BG24" s="167" t="s">
        <v>282</v>
      </c>
      <c r="BH24" s="167" t="s">
        <v>250</v>
      </c>
      <c r="BI24" s="167" t="s">
        <v>251</v>
      </c>
      <c r="BJ24" s="144" cm="1">
        <f t="array" ref="BJ24">SUMPRODUCT(COUNTIF(F24:BI24, {"C","CV","C-I","SM"}))</f>
        <v>3</v>
      </c>
      <c r="BK24" s="160">
        <f t="shared" si="6"/>
        <v>0</v>
      </c>
      <c r="BL24" s="160">
        <f t="shared" si="2"/>
        <v>3</v>
      </c>
      <c r="BM24" s="160">
        <f t="shared" si="7"/>
        <v>0</v>
      </c>
      <c r="BN24" s="159">
        <f t="shared" si="8"/>
        <v>0</v>
      </c>
      <c r="BO24" s="161" cm="1">
        <f t="array" ref="BO24">SUMPRODUCT(COUNTIF(F24:BI24, {"PC","OFF","W"}))</f>
        <v>12</v>
      </c>
      <c r="BP24" s="144">
        <f t="shared" si="0"/>
        <v>0</v>
      </c>
      <c r="BQ24" s="144">
        <f t="shared" si="9"/>
        <v>0</v>
      </c>
      <c r="BR24" s="144"/>
      <c r="BS24" s="83"/>
      <c r="BT24" s="155"/>
      <c r="BU24" s="155"/>
      <c r="BV24" s="155"/>
      <c r="BW24" s="155"/>
    </row>
    <row r="25" spans="1:75" ht="21" x14ac:dyDescent="0.25">
      <c r="A25" s="91" t="s">
        <v>43</v>
      </c>
      <c r="B25" s="172" t="s">
        <v>44</v>
      </c>
      <c r="C25" s="82" t="s">
        <v>222</v>
      </c>
      <c r="D25" s="26" t="s">
        <v>255</v>
      </c>
      <c r="E25" s="30" t="s">
        <v>591</v>
      </c>
      <c r="F25" s="167" t="s">
        <v>384</v>
      </c>
      <c r="G25" s="167" t="s">
        <v>384</v>
      </c>
      <c r="H25" s="167" t="s">
        <v>312</v>
      </c>
      <c r="I25" s="167" t="s">
        <v>282</v>
      </c>
      <c r="J25" s="167" t="s">
        <v>384</v>
      </c>
      <c r="K25" s="167" t="s">
        <v>384</v>
      </c>
      <c r="L25" s="167" t="s">
        <v>384</v>
      </c>
      <c r="M25" s="167" t="s">
        <v>384</v>
      </c>
      <c r="N25" s="167" t="s">
        <v>384</v>
      </c>
      <c r="O25" s="167" t="s">
        <v>384</v>
      </c>
      <c r="P25" s="167" t="s">
        <v>384</v>
      </c>
      <c r="Q25" s="167" t="s">
        <v>384</v>
      </c>
      <c r="R25" s="167" t="s">
        <v>384</v>
      </c>
      <c r="S25" s="167" t="s">
        <v>384</v>
      </c>
      <c r="T25" s="167" t="s">
        <v>384</v>
      </c>
      <c r="U25" s="167" t="s">
        <v>384</v>
      </c>
      <c r="V25" s="167" t="s">
        <v>312</v>
      </c>
      <c r="W25" s="167" t="s">
        <v>282</v>
      </c>
      <c r="X25" s="167" t="s">
        <v>384</v>
      </c>
      <c r="Y25" s="167" t="s">
        <v>384</v>
      </c>
      <c r="Z25" s="167" t="s">
        <v>384</v>
      </c>
      <c r="AA25" s="167" t="s">
        <v>384</v>
      </c>
      <c r="AB25" s="167" t="s">
        <v>384</v>
      </c>
      <c r="AC25" s="167" t="s">
        <v>384</v>
      </c>
      <c r="AD25" s="167" t="s">
        <v>384</v>
      </c>
      <c r="AE25" s="167" t="s">
        <v>384</v>
      </c>
      <c r="AF25" s="167" t="s">
        <v>252</v>
      </c>
      <c r="AG25" s="167" t="s">
        <v>384</v>
      </c>
      <c r="AH25" s="167" t="s">
        <v>384</v>
      </c>
      <c r="AI25" s="167" t="s">
        <v>384</v>
      </c>
      <c r="AJ25" s="167" t="s">
        <v>384</v>
      </c>
      <c r="AK25" s="167" t="s">
        <v>384</v>
      </c>
      <c r="AL25" s="167" t="s">
        <v>384</v>
      </c>
      <c r="AM25" s="167" t="s">
        <v>384</v>
      </c>
      <c r="AN25" s="167" t="s">
        <v>384</v>
      </c>
      <c r="AO25" s="167" t="s">
        <v>384</v>
      </c>
      <c r="AP25" s="167" t="s">
        <v>384</v>
      </c>
      <c r="AQ25" s="167" t="s">
        <v>384</v>
      </c>
      <c r="AR25" s="167" t="s">
        <v>384</v>
      </c>
      <c r="AS25" s="167" t="s">
        <v>384</v>
      </c>
      <c r="AT25" s="167" t="s">
        <v>384</v>
      </c>
      <c r="AU25" s="167" t="s">
        <v>384</v>
      </c>
      <c r="AV25" s="167" t="s">
        <v>384</v>
      </c>
      <c r="AW25" s="167" t="s">
        <v>384</v>
      </c>
      <c r="AX25" s="167" t="s">
        <v>384</v>
      </c>
      <c r="AY25" s="167" t="s">
        <v>384</v>
      </c>
      <c r="AZ25" s="167" t="s">
        <v>384</v>
      </c>
      <c r="BA25" s="167" t="s">
        <v>384</v>
      </c>
      <c r="BB25" s="167" t="s">
        <v>384</v>
      </c>
      <c r="BC25" s="167" t="s">
        <v>384</v>
      </c>
      <c r="BD25" s="167" t="s">
        <v>384</v>
      </c>
      <c r="BE25" s="167" t="s">
        <v>384</v>
      </c>
      <c r="BF25" s="167" t="s">
        <v>384</v>
      </c>
      <c r="BG25" s="167" t="s">
        <v>252</v>
      </c>
      <c r="BH25" s="167" t="s">
        <v>250</v>
      </c>
      <c r="BI25" s="167" t="s">
        <v>251</v>
      </c>
      <c r="BJ25" s="144" cm="1">
        <f t="array" ref="BJ25">SUMPRODUCT(COUNTIF(F25:BI25, {"C","CV","C-I","SM"}))</f>
        <v>2</v>
      </c>
      <c r="BK25" s="160">
        <f t="shared" si="6"/>
        <v>0</v>
      </c>
      <c r="BL25" s="160">
        <f t="shared" si="2"/>
        <v>2</v>
      </c>
      <c r="BM25" s="160">
        <f t="shared" si="7"/>
        <v>0</v>
      </c>
      <c r="BN25" s="159">
        <f t="shared" si="8"/>
        <v>0</v>
      </c>
      <c r="BO25" s="161" cm="1">
        <f t="array" ref="BO25">SUMPRODUCT(COUNTIF(F25:BI25, {"PC","OFF","W"}))</f>
        <v>2</v>
      </c>
      <c r="BP25" s="144">
        <f t="shared" si="0"/>
        <v>0</v>
      </c>
      <c r="BQ25" s="144">
        <f t="shared" si="9"/>
        <v>0</v>
      </c>
      <c r="BR25" s="144"/>
      <c r="BS25" s="83"/>
      <c r="BT25" s="155"/>
      <c r="BU25" s="155"/>
      <c r="BV25" s="155"/>
      <c r="BW25" s="155"/>
    </row>
    <row r="26" spans="1:75" ht="21" x14ac:dyDescent="0.25">
      <c r="A26" s="21" t="s">
        <v>220</v>
      </c>
      <c r="B26" s="21" t="s">
        <v>220</v>
      </c>
      <c r="C26" s="25"/>
      <c r="D26" s="26"/>
      <c r="E26" s="27"/>
      <c r="F26" s="167"/>
      <c r="G26" s="167"/>
      <c r="H26" s="167"/>
      <c r="I26" s="167"/>
      <c r="J26" s="167" t="s">
        <v>243</v>
      </c>
      <c r="K26" s="167" t="s">
        <v>243</v>
      </c>
      <c r="L26" s="167" t="s">
        <v>243</v>
      </c>
      <c r="M26" s="167" t="s">
        <v>243</v>
      </c>
      <c r="N26" s="167" t="s">
        <v>248</v>
      </c>
      <c r="O26" s="167" t="s">
        <v>249</v>
      </c>
      <c r="P26" s="167"/>
      <c r="Q26" s="167"/>
      <c r="R26" s="167"/>
      <c r="S26" s="167" t="s">
        <v>250</v>
      </c>
      <c r="T26" s="167"/>
      <c r="U26" s="167"/>
      <c r="V26" s="167"/>
      <c r="W26" s="167"/>
      <c r="X26" s="167" t="s">
        <v>243</v>
      </c>
      <c r="Y26" s="167" t="s">
        <v>243</v>
      </c>
      <c r="Z26" s="167" t="s">
        <v>243</v>
      </c>
      <c r="AA26" s="167" t="s">
        <v>243</v>
      </c>
      <c r="AB26" s="167"/>
      <c r="AC26" s="167"/>
      <c r="AD26" s="167"/>
      <c r="AE26" s="167"/>
      <c r="AF26" s="167"/>
      <c r="AG26" s="167" t="s">
        <v>269</v>
      </c>
      <c r="AH26" s="167"/>
      <c r="AI26" s="167"/>
      <c r="AJ26" s="167"/>
      <c r="AK26" s="167"/>
      <c r="AL26" s="167" t="s">
        <v>243</v>
      </c>
      <c r="AM26" s="167" t="s">
        <v>243</v>
      </c>
      <c r="AN26" s="167" t="s">
        <v>243</v>
      </c>
      <c r="AO26" s="167" t="s">
        <v>243</v>
      </c>
      <c r="AP26" s="167"/>
      <c r="AQ26" s="167"/>
      <c r="AR26" s="167"/>
      <c r="AS26" s="167"/>
      <c r="AT26" s="167"/>
      <c r="AU26" s="167" t="s">
        <v>272</v>
      </c>
      <c r="AV26" s="167"/>
      <c r="AW26" s="167"/>
      <c r="AX26" s="167"/>
      <c r="AY26" s="167"/>
      <c r="AZ26" s="167" t="s">
        <v>243</v>
      </c>
      <c r="BA26" s="167" t="s">
        <v>243</v>
      </c>
      <c r="BB26" s="167" t="s">
        <v>243</v>
      </c>
      <c r="BC26" s="167" t="s">
        <v>243</v>
      </c>
      <c r="BD26" s="167"/>
      <c r="BE26" s="167"/>
      <c r="BF26" s="167"/>
      <c r="BG26" s="167"/>
      <c r="BH26" s="167" t="s">
        <v>250</v>
      </c>
      <c r="BI26" s="167" t="s">
        <v>251</v>
      </c>
      <c r="BJ26" s="144" cm="1">
        <f t="array" ref="BJ26">SUMPRODUCT(COUNTIF(F26:BI26, {"C","CV","C-I","SM"}))</f>
        <v>0</v>
      </c>
      <c r="BK26" s="160">
        <f t="shared" si="6"/>
        <v>0</v>
      </c>
      <c r="BL26" s="160">
        <f t="shared" si="2"/>
        <v>0</v>
      </c>
      <c r="BM26" s="160">
        <f t="shared" si="7"/>
        <v>0</v>
      </c>
      <c r="BN26" s="159">
        <f t="shared" si="8"/>
        <v>0</v>
      </c>
      <c r="BO26" s="161" cm="1">
        <f t="array" ref="BO26">SUMPRODUCT(COUNTIF(F26:BI26, {"PC","OFF","W"}))</f>
        <v>16</v>
      </c>
      <c r="BP26" s="144">
        <f t="shared" si="0"/>
        <v>0</v>
      </c>
      <c r="BQ26" s="144">
        <f t="shared" si="9"/>
        <v>0</v>
      </c>
      <c r="BR26" s="144"/>
      <c r="BS26" s="83"/>
      <c r="BT26" s="155"/>
      <c r="BU26" s="155"/>
      <c r="BV26" s="155"/>
      <c r="BW26" s="155"/>
    </row>
    <row r="27" spans="1:75" ht="21" x14ac:dyDescent="0.25">
      <c r="A27" s="21" t="s">
        <v>220</v>
      </c>
      <c r="B27" s="21" t="s">
        <v>220</v>
      </c>
      <c r="C27" s="25"/>
      <c r="D27" s="26"/>
      <c r="E27" s="27"/>
      <c r="F27" s="167"/>
      <c r="G27" s="167"/>
      <c r="H27" s="167"/>
      <c r="I27" s="167"/>
      <c r="J27" s="167" t="s">
        <v>243</v>
      </c>
      <c r="K27" s="167" t="s">
        <v>243</v>
      </c>
      <c r="L27" s="167" t="s">
        <v>243</v>
      </c>
      <c r="M27" s="167" t="s">
        <v>243</v>
      </c>
      <c r="N27" s="167" t="s">
        <v>248</v>
      </c>
      <c r="O27" s="167" t="s">
        <v>249</v>
      </c>
      <c r="P27" s="167"/>
      <c r="Q27" s="167"/>
      <c r="R27" s="167"/>
      <c r="S27" s="167" t="s">
        <v>250</v>
      </c>
      <c r="T27" s="167"/>
      <c r="U27" s="167"/>
      <c r="V27" s="167"/>
      <c r="W27" s="167"/>
      <c r="X27" s="167" t="s">
        <v>243</v>
      </c>
      <c r="Y27" s="167" t="s">
        <v>243</v>
      </c>
      <c r="Z27" s="167" t="s">
        <v>243</v>
      </c>
      <c r="AA27" s="167" t="s">
        <v>243</v>
      </c>
      <c r="AB27" s="167"/>
      <c r="AC27" s="167"/>
      <c r="AD27" s="167"/>
      <c r="AE27" s="167"/>
      <c r="AF27" s="167"/>
      <c r="AG27" s="167" t="s">
        <v>269</v>
      </c>
      <c r="AH27" s="167"/>
      <c r="AI27" s="167"/>
      <c r="AJ27" s="167"/>
      <c r="AK27" s="167"/>
      <c r="AL27" s="167" t="s">
        <v>243</v>
      </c>
      <c r="AM27" s="167" t="s">
        <v>243</v>
      </c>
      <c r="AN27" s="167" t="s">
        <v>243</v>
      </c>
      <c r="AO27" s="167" t="s">
        <v>243</v>
      </c>
      <c r="AP27" s="167"/>
      <c r="AQ27" s="167"/>
      <c r="AR27" s="167"/>
      <c r="AS27" s="167"/>
      <c r="AT27" s="167"/>
      <c r="AU27" s="167" t="s">
        <v>272</v>
      </c>
      <c r="AV27" s="167"/>
      <c r="AW27" s="167"/>
      <c r="AX27" s="167"/>
      <c r="AY27" s="167"/>
      <c r="AZ27" s="167" t="s">
        <v>243</v>
      </c>
      <c r="BA27" s="167" t="s">
        <v>243</v>
      </c>
      <c r="BB27" s="167" t="s">
        <v>243</v>
      </c>
      <c r="BC27" s="167" t="s">
        <v>243</v>
      </c>
      <c r="BD27" s="167"/>
      <c r="BE27" s="167"/>
      <c r="BF27" s="167"/>
      <c r="BG27" s="167"/>
      <c r="BH27" s="167" t="s">
        <v>250</v>
      </c>
      <c r="BI27" s="167" t="s">
        <v>251</v>
      </c>
      <c r="BJ27" s="144" cm="1">
        <f t="array" ref="BJ27">SUMPRODUCT(COUNTIF(F27:BI27, {"C","CV","C-I","SM"}))</f>
        <v>0</v>
      </c>
      <c r="BK27" s="160">
        <f t="shared" si="6"/>
        <v>0</v>
      </c>
      <c r="BL27" s="160">
        <f t="shared" si="2"/>
        <v>0</v>
      </c>
      <c r="BM27" s="160">
        <f t="shared" si="7"/>
        <v>0</v>
      </c>
      <c r="BN27" s="159">
        <f t="shared" si="8"/>
        <v>0</v>
      </c>
      <c r="BO27" s="161" cm="1">
        <f t="array" ref="BO27">SUMPRODUCT(COUNTIF(F27:BI27, {"PC","OFF","W"}))</f>
        <v>16</v>
      </c>
      <c r="BP27" s="144">
        <f t="shared" si="0"/>
        <v>0</v>
      </c>
      <c r="BQ27" s="144">
        <f t="shared" si="9"/>
        <v>0</v>
      </c>
      <c r="BR27" s="144"/>
      <c r="BS27" s="83"/>
      <c r="BT27" s="155"/>
      <c r="BU27" s="155"/>
      <c r="BV27" s="155"/>
      <c r="BW27" s="155"/>
    </row>
    <row r="28" spans="1:75" ht="21" x14ac:dyDescent="0.25">
      <c r="A28" s="21" t="s">
        <v>220</v>
      </c>
      <c r="B28" s="21" t="s">
        <v>220</v>
      </c>
      <c r="C28" s="25"/>
      <c r="D28" s="26"/>
      <c r="E28" s="30"/>
      <c r="F28" s="167"/>
      <c r="G28" s="167"/>
      <c r="H28" s="167"/>
      <c r="I28" s="167"/>
      <c r="J28" s="167" t="s">
        <v>243</v>
      </c>
      <c r="K28" s="167" t="s">
        <v>243</v>
      </c>
      <c r="L28" s="167" t="s">
        <v>243</v>
      </c>
      <c r="M28" s="167" t="s">
        <v>243</v>
      </c>
      <c r="N28" s="167" t="s">
        <v>248</v>
      </c>
      <c r="O28" s="167" t="s">
        <v>249</v>
      </c>
      <c r="P28" s="167"/>
      <c r="Q28" s="167"/>
      <c r="R28" s="167"/>
      <c r="S28" s="167" t="s">
        <v>250</v>
      </c>
      <c r="T28" s="167"/>
      <c r="U28" s="167"/>
      <c r="V28" s="167"/>
      <c r="W28" s="167"/>
      <c r="X28" s="167" t="s">
        <v>243</v>
      </c>
      <c r="Y28" s="167" t="s">
        <v>243</v>
      </c>
      <c r="Z28" s="167" t="s">
        <v>243</v>
      </c>
      <c r="AA28" s="167" t="s">
        <v>243</v>
      </c>
      <c r="AB28" s="167"/>
      <c r="AC28" s="167"/>
      <c r="AD28" s="167"/>
      <c r="AE28" s="167"/>
      <c r="AF28" s="167"/>
      <c r="AG28" s="167" t="s">
        <v>269</v>
      </c>
      <c r="AH28" s="167"/>
      <c r="AI28" s="167"/>
      <c r="AJ28" s="167"/>
      <c r="AK28" s="167"/>
      <c r="AL28" s="167" t="s">
        <v>243</v>
      </c>
      <c r="AM28" s="167" t="s">
        <v>243</v>
      </c>
      <c r="AN28" s="167" t="s">
        <v>243</v>
      </c>
      <c r="AO28" s="167" t="s">
        <v>243</v>
      </c>
      <c r="AP28" s="167"/>
      <c r="AQ28" s="167"/>
      <c r="AR28" s="167"/>
      <c r="AS28" s="167"/>
      <c r="AT28" s="167"/>
      <c r="AU28" s="167" t="s">
        <v>272</v>
      </c>
      <c r="AV28" s="167"/>
      <c r="AW28" s="167"/>
      <c r="AX28" s="167"/>
      <c r="AY28" s="167"/>
      <c r="AZ28" s="167" t="s">
        <v>243</v>
      </c>
      <c r="BA28" s="167" t="s">
        <v>243</v>
      </c>
      <c r="BB28" s="167" t="s">
        <v>243</v>
      </c>
      <c r="BC28" s="167" t="s">
        <v>243</v>
      </c>
      <c r="BD28" s="167"/>
      <c r="BE28" s="167"/>
      <c r="BF28" s="167"/>
      <c r="BG28" s="167"/>
      <c r="BH28" s="167" t="s">
        <v>250</v>
      </c>
      <c r="BI28" s="167" t="s">
        <v>251</v>
      </c>
      <c r="BJ28" s="144" cm="1">
        <f t="array" ref="BJ28">SUMPRODUCT(COUNTIF(F28:BI28, {"C","CV","C-I","SM"}))</f>
        <v>0</v>
      </c>
      <c r="BK28" s="160">
        <f t="shared" si="6"/>
        <v>0</v>
      </c>
      <c r="BL28" s="160">
        <f t="shared" si="2"/>
        <v>0</v>
      </c>
      <c r="BM28" s="160">
        <f t="shared" si="7"/>
        <v>0</v>
      </c>
      <c r="BN28" s="159">
        <f t="shared" si="8"/>
        <v>0</v>
      </c>
      <c r="BO28" s="161" cm="1">
        <f t="array" ref="BO28">SUMPRODUCT(COUNTIF(F28:BI28, {"PC","OFF","W"}))</f>
        <v>16</v>
      </c>
      <c r="BP28" s="144">
        <f t="shared" si="0"/>
        <v>0</v>
      </c>
      <c r="BQ28" s="144">
        <f t="shared" si="9"/>
        <v>0</v>
      </c>
      <c r="BR28" s="144"/>
      <c r="BS28" s="83"/>
      <c r="BT28" s="155"/>
      <c r="BU28" s="155"/>
      <c r="BV28" s="155"/>
      <c r="BW28" s="155"/>
    </row>
    <row r="29" spans="1:75" ht="21" x14ac:dyDescent="0.25">
      <c r="A29" s="21"/>
      <c r="B29" s="21"/>
      <c r="C29" s="21" t="s">
        <v>220</v>
      </c>
      <c r="D29" s="22" t="s">
        <v>220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145">
        <f>SUM(BJ9:BJ26)</f>
        <v>94</v>
      </c>
      <c r="BK29" s="145">
        <f t="shared" ref="BK29:BL29" si="10">SUM(BK9:BK26)</f>
        <v>7</v>
      </c>
      <c r="BL29" s="145">
        <f t="shared" si="10"/>
        <v>101</v>
      </c>
      <c r="BM29" s="145">
        <f>SUM(BM9:BM28)</f>
        <v>46</v>
      </c>
      <c r="BN29" s="145">
        <f>SUM(BO9:BO28)</f>
        <v>204</v>
      </c>
      <c r="BO29" s="145">
        <f>SUM(BP9:BP28)</f>
        <v>24</v>
      </c>
      <c r="BP29" s="145">
        <f>SUM(BQ9:BQ28)</f>
        <v>105</v>
      </c>
      <c r="BQ29" s="155"/>
      <c r="BR29" s="155"/>
      <c r="BS29" s="83"/>
      <c r="BT29" s="155"/>
      <c r="BU29" s="155"/>
      <c r="BV29" s="155"/>
      <c r="BW29" s="155"/>
    </row>
    <row r="30" spans="1:75" ht="20" x14ac:dyDescent="0.2">
      <c r="A30" s="21" t="s">
        <v>220</v>
      </c>
      <c r="B30" s="21" t="s">
        <v>220</v>
      </c>
      <c r="C30" s="21" t="s">
        <v>220</v>
      </c>
      <c r="D30" s="22" t="s">
        <v>220</v>
      </c>
      <c r="E30" s="22" t="s">
        <v>220</v>
      </c>
      <c r="F30" s="22" t="s">
        <v>220</v>
      </c>
      <c r="G30" s="22" t="s">
        <v>220</v>
      </c>
      <c r="H30" s="22" t="s">
        <v>220</v>
      </c>
      <c r="I30" s="22" t="s">
        <v>220</v>
      </c>
      <c r="J30" s="22" t="s">
        <v>220</v>
      </c>
      <c r="K30" s="22" t="s">
        <v>220</v>
      </c>
      <c r="L30" s="22" t="s">
        <v>220</v>
      </c>
      <c r="M30" s="22" t="s">
        <v>220</v>
      </c>
      <c r="N30" s="22" t="s">
        <v>220</v>
      </c>
      <c r="O30" s="22" t="s">
        <v>220</v>
      </c>
      <c r="P30" s="22" t="s">
        <v>220</v>
      </c>
      <c r="Q30" s="22" t="s">
        <v>220</v>
      </c>
      <c r="R30" s="22" t="s">
        <v>220</v>
      </c>
      <c r="S30" s="22" t="s">
        <v>220</v>
      </c>
      <c r="T30" s="22" t="s">
        <v>220</v>
      </c>
      <c r="U30" s="22" t="s">
        <v>220</v>
      </c>
      <c r="V30" s="22" t="s">
        <v>220</v>
      </c>
      <c r="W30" s="22" t="s">
        <v>220</v>
      </c>
      <c r="X30" s="22" t="s">
        <v>220</v>
      </c>
      <c r="Y30" s="22" t="s">
        <v>220</v>
      </c>
      <c r="Z30" s="22" t="s">
        <v>220</v>
      </c>
      <c r="AA30" s="22" t="s">
        <v>220</v>
      </c>
      <c r="AB30" s="22" t="s">
        <v>220</v>
      </c>
      <c r="AC30" s="22" t="s">
        <v>220</v>
      </c>
      <c r="AD30" s="22" t="s">
        <v>220</v>
      </c>
      <c r="AE30" s="22" t="s">
        <v>220</v>
      </c>
      <c r="AF30" s="22" t="s">
        <v>220</v>
      </c>
      <c r="AG30" s="22" t="s">
        <v>220</v>
      </c>
      <c r="AH30" s="22" t="s">
        <v>220</v>
      </c>
      <c r="AI30" s="22" t="s">
        <v>220</v>
      </c>
      <c r="AJ30" s="22" t="s">
        <v>220</v>
      </c>
      <c r="AK30" s="22" t="s">
        <v>220</v>
      </c>
      <c r="AL30" s="22" t="s">
        <v>220</v>
      </c>
      <c r="AM30" s="22" t="s">
        <v>220</v>
      </c>
      <c r="AN30" s="22" t="s">
        <v>220</v>
      </c>
      <c r="AO30" s="22" t="s">
        <v>220</v>
      </c>
      <c r="AP30" s="22" t="s">
        <v>220</v>
      </c>
      <c r="AQ30" s="22" t="s">
        <v>220</v>
      </c>
      <c r="AR30" s="22" t="s">
        <v>220</v>
      </c>
      <c r="AS30" s="22" t="s">
        <v>220</v>
      </c>
      <c r="AT30" s="22" t="s">
        <v>220</v>
      </c>
      <c r="AU30" s="22" t="s">
        <v>220</v>
      </c>
      <c r="AV30" s="22" t="s">
        <v>220</v>
      </c>
      <c r="AW30" s="22" t="s">
        <v>220</v>
      </c>
      <c r="AX30" s="22" t="s">
        <v>220</v>
      </c>
      <c r="AY30" s="22" t="s">
        <v>220</v>
      </c>
      <c r="AZ30" s="22" t="s">
        <v>220</v>
      </c>
      <c r="BA30" s="22" t="s">
        <v>220</v>
      </c>
      <c r="BB30" s="22" t="s">
        <v>220</v>
      </c>
      <c r="BC30" s="22" t="s">
        <v>220</v>
      </c>
      <c r="BD30" s="22" t="s">
        <v>220</v>
      </c>
      <c r="BE30" s="22" t="s">
        <v>220</v>
      </c>
      <c r="BF30" s="22" t="s">
        <v>220</v>
      </c>
      <c r="BG30" s="22" t="s">
        <v>220</v>
      </c>
      <c r="BH30" s="22" t="s">
        <v>220</v>
      </c>
      <c r="BI30" s="22" t="s">
        <v>220</v>
      </c>
      <c r="BJ30" s="15" t="s">
        <v>252</v>
      </c>
      <c r="BK30" s="165" t="s">
        <v>309</v>
      </c>
      <c r="BL30" s="165" t="s">
        <v>369</v>
      </c>
      <c r="BM30" s="153" t="s">
        <v>257</v>
      </c>
      <c r="BN30" s="153" t="s">
        <v>258</v>
      </c>
      <c r="BO30" s="153" t="s">
        <v>253</v>
      </c>
      <c r="BP30" s="153" t="s">
        <v>209</v>
      </c>
      <c r="BQ30" s="153" t="s">
        <v>259</v>
      </c>
      <c r="BR30" s="153" t="s">
        <v>235</v>
      </c>
      <c r="BS30" s="155"/>
      <c r="BT30" s="155"/>
      <c r="BU30" s="155"/>
      <c r="BV30" s="155"/>
      <c r="BW30" s="155"/>
    </row>
    <row r="31" spans="1:75" ht="20" x14ac:dyDescent="0.2">
      <c r="A31" s="21" t="s">
        <v>220</v>
      </c>
      <c r="B31" s="21" t="s">
        <v>220</v>
      </c>
      <c r="C31" s="81" t="s">
        <v>260</v>
      </c>
      <c r="D31" s="26" t="s">
        <v>261</v>
      </c>
      <c r="E31" s="30" t="s">
        <v>592</v>
      </c>
      <c r="F31" s="167" t="s">
        <v>251</v>
      </c>
      <c r="G31" s="167" t="s">
        <v>251</v>
      </c>
      <c r="H31" s="167" t="s">
        <v>251</v>
      </c>
      <c r="I31" s="167" t="s">
        <v>251</v>
      </c>
      <c r="J31" s="167" t="s">
        <v>243</v>
      </c>
      <c r="K31" s="167" t="s">
        <v>243</v>
      </c>
      <c r="L31" s="167" t="s">
        <v>243</v>
      </c>
      <c r="M31" s="167" t="s">
        <v>243</v>
      </c>
      <c r="N31" s="167" t="s">
        <v>248</v>
      </c>
      <c r="O31" s="167" t="s">
        <v>249</v>
      </c>
      <c r="P31" s="167" t="s">
        <v>251</v>
      </c>
      <c r="Q31" s="167" t="s">
        <v>251</v>
      </c>
      <c r="R31" s="167" t="s">
        <v>251</v>
      </c>
      <c r="S31" s="167" t="s">
        <v>250</v>
      </c>
      <c r="T31" s="167" t="s">
        <v>251</v>
      </c>
      <c r="U31" s="167" t="s">
        <v>251</v>
      </c>
      <c r="V31" s="167" t="s">
        <v>251</v>
      </c>
      <c r="W31" s="167" t="s">
        <v>251</v>
      </c>
      <c r="X31" s="167" t="s">
        <v>243</v>
      </c>
      <c r="Y31" s="167" t="s">
        <v>243</v>
      </c>
      <c r="Z31" s="167" t="s">
        <v>243</v>
      </c>
      <c r="AA31" s="167" t="s">
        <v>243</v>
      </c>
      <c r="AB31" s="167" t="s">
        <v>251</v>
      </c>
      <c r="AC31" s="167" t="s">
        <v>257</v>
      </c>
      <c r="AD31" s="167" t="s">
        <v>263</v>
      </c>
      <c r="AE31" s="167" t="s">
        <v>264</v>
      </c>
      <c r="AF31" s="167" t="s">
        <v>251</v>
      </c>
      <c r="AG31" s="167" t="s">
        <v>251</v>
      </c>
      <c r="AH31" s="167" t="s">
        <v>257</v>
      </c>
      <c r="AI31" s="167" t="s">
        <v>251</v>
      </c>
      <c r="AJ31" s="167" t="s">
        <v>251</v>
      </c>
      <c r="AK31" s="167" t="s">
        <v>251</v>
      </c>
      <c r="AL31" s="167" t="s">
        <v>251</v>
      </c>
      <c r="AM31" s="167" t="s">
        <v>251</v>
      </c>
      <c r="AN31" s="167" t="s">
        <v>251</v>
      </c>
      <c r="AO31" s="167" t="s">
        <v>251</v>
      </c>
      <c r="AP31" s="167" t="s">
        <v>263</v>
      </c>
      <c r="AQ31" s="167" t="s">
        <v>264</v>
      </c>
      <c r="AR31" s="167" t="s">
        <v>251</v>
      </c>
      <c r="AS31" s="167" t="s">
        <v>251</v>
      </c>
      <c r="AT31" s="167" t="s">
        <v>251</v>
      </c>
      <c r="AU31" s="167" t="s">
        <v>251</v>
      </c>
      <c r="AV31" s="167" t="s">
        <v>257</v>
      </c>
      <c r="AW31" s="167" t="s">
        <v>251</v>
      </c>
      <c r="AX31" s="167" t="s">
        <v>251</v>
      </c>
      <c r="AY31" s="167" t="s">
        <v>257</v>
      </c>
      <c r="AZ31" s="167" t="s">
        <v>243</v>
      </c>
      <c r="BA31" s="167" t="s">
        <v>243</v>
      </c>
      <c r="BB31" s="167" t="s">
        <v>243</v>
      </c>
      <c r="BC31" s="167" t="s">
        <v>243</v>
      </c>
      <c r="BD31" s="167" t="s">
        <v>377</v>
      </c>
      <c r="BE31" s="167" t="s">
        <v>377</v>
      </c>
      <c r="BF31" s="167" t="s">
        <v>377</v>
      </c>
      <c r="BG31" s="167" t="s">
        <v>377</v>
      </c>
      <c r="BH31" s="167" t="s">
        <v>377</v>
      </c>
      <c r="BI31" s="167" t="s">
        <v>377</v>
      </c>
      <c r="BJ31" s="33" cm="1">
        <f t="array" ref="BJ31">SUMPRODUCT(COUNTIF(F31:BI31, {"C","SM"}))</f>
        <v>0</v>
      </c>
      <c r="BK31" s="33">
        <f>COUNTIF(F31:BI31, "CV")</f>
        <v>0</v>
      </c>
      <c r="BL31" s="33">
        <f>BJ31+BK31</f>
        <v>0</v>
      </c>
      <c r="BM31" s="33" cm="1">
        <f t="array" ref="BM31">SUMPRODUCT(COUNTIF(F31:BI31, {"AT","PCAT","DO"}))</f>
        <v>8</v>
      </c>
      <c r="BN31" s="34" cm="1">
        <f t="array" ref="BN31">SUMPRODUCT(COUNTIF(F31:BI31, {"GME","DFM","DOFM"}))</f>
        <v>27</v>
      </c>
      <c r="BO31" s="34">
        <f>COUNTIF(F31:BI31, "LV")</f>
        <v>0</v>
      </c>
      <c r="BP31" s="143">
        <f>COUNTIF(F31:BI31, "FMIT")</f>
        <v>0</v>
      </c>
      <c r="BQ31" s="34">
        <f>COUNTIF(F4:BI4, "BEVIS")</f>
        <v>0</v>
      </c>
      <c r="BR31" s="34">
        <f>COUNTIF(L4,"BEVIS")+COUNTIF(Z4,"BEVIS")+COUNTIF(AN4,"BEVIS")+COUNTIF(BB4,"BEVIS")</f>
        <v>0</v>
      </c>
      <c r="BS31" s="155"/>
      <c r="BT31" s="155"/>
      <c r="BU31" s="155"/>
      <c r="BV31" s="155"/>
      <c r="BW31" s="155"/>
    </row>
    <row r="32" spans="1:75" ht="20" x14ac:dyDescent="0.2">
      <c r="A32" s="21" t="s">
        <v>220</v>
      </c>
      <c r="B32" s="21" t="s">
        <v>220</v>
      </c>
      <c r="C32" s="81" t="s">
        <v>260</v>
      </c>
      <c r="D32" s="26" t="s">
        <v>261</v>
      </c>
      <c r="E32" s="27" t="s">
        <v>593</v>
      </c>
      <c r="F32" s="167" t="s">
        <v>279</v>
      </c>
      <c r="G32" s="167" t="s">
        <v>279</v>
      </c>
      <c r="H32" s="167" t="s">
        <v>279</v>
      </c>
      <c r="I32" s="167" t="s">
        <v>279</v>
      </c>
      <c r="J32" s="167" t="s">
        <v>243</v>
      </c>
      <c r="K32" s="167" t="s">
        <v>243</v>
      </c>
      <c r="L32" s="167" t="s">
        <v>243</v>
      </c>
      <c r="M32" s="167" t="s">
        <v>243</v>
      </c>
      <c r="N32" s="167" t="s">
        <v>248</v>
      </c>
      <c r="O32" s="167" t="s">
        <v>249</v>
      </c>
      <c r="P32" s="167" t="s">
        <v>309</v>
      </c>
      <c r="Q32" s="167" t="s">
        <v>257</v>
      </c>
      <c r="R32" s="167" t="s">
        <v>309</v>
      </c>
      <c r="S32" s="167" t="s">
        <v>250</v>
      </c>
      <c r="T32" s="167" t="s">
        <v>263</v>
      </c>
      <c r="U32" s="167" t="s">
        <v>264</v>
      </c>
      <c r="V32" s="167" t="s">
        <v>252</v>
      </c>
      <c r="W32" s="167" t="s">
        <v>251</v>
      </c>
      <c r="X32" s="167" t="s">
        <v>243</v>
      </c>
      <c r="Y32" s="167" t="s">
        <v>243</v>
      </c>
      <c r="Z32" s="167" t="s">
        <v>243</v>
      </c>
      <c r="AA32" s="167" t="s">
        <v>243</v>
      </c>
      <c r="AB32" s="167" t="s">
        <v>251</v>
      </c>
      <c r="AC32" s="167" t="s">
        <v>257</v>
      </c>
      <c r="AD32" s="167" t="s">
        <v>252</v>
      </c>
      <c r="AE32" s="167" t="s">
        <v>309</v>
      </c>
      <c r="AF32" s="167" t="s">
        <v>251</v>
      </c>
      <c r="AG32" s="167" t="s">
        <v>269</v>
      </c>
      <c r="AH32" s="167" t="s">
        <v>309</v>
      </c>
      <c r="AI32" s="167" t="s">
        <v>309</v>
      </c>
      <c r="AJ32" s="167" t="s">
        <v>257</v>
      </c>
      <c r="AK32" s="167" t="s">
        <v>251</v>
      </c>
      <c r="AL32" s="167" t="s">
        <v>243</v>
      </c>
      <c r="AM32" s="167" t="s">
        <v>243</v>
      </c>
      <c r="AN32" s="167" t="s">
        <v>243</v>
      </c>
      <c r="AO32" s="167" t="s">
        <v>243</v>
      </c>
      <c r="AP32" s="167" t="s">
        <v>252</v>
      </c>
      <c r="AQ32" s="167" t="s">
        <v>309</v>
      </c>
      <c r="AR32" s="167" t="s">
        <v>257</v>
      </c>
      <c r="AS32" s="167" t="s">
        <v>251</v>
      </c>
      <c r="AT32" s="167" t="s">
        <v>263</v>
      </c>
      <c r="AU32" s="167" t="s">
        <v>264</v>
      </c>
      <c r="AV32" s="167" t="s">
        <v>251</v>
      </c>
      <c r="AW32" s="167" t="s">
        <v>257</v>
      </c>
      <c r="AX32" s="167" t="s">
        <v>252</v>
      </c>
      <c r="AY32" s="167" t="s">
        <v>309</v>
      </c>
      <c r="AZ32" s="167" t="s">
        <v>243</v>
      </c>
      <c r="BA32" s="167" t="s">
        <v>243</v>
      </c>
      <c r="BB32" s="167" t="s">
        <v>243</v>
      </c>
      <c r="BC32" s="167" t="s">
        <v>243</v>
      </c>
      <c r="BD32" s="167" t="s">
        <v>252</v>
      </c>
      <c r="BE32" s="167" t="s">
        <v>309</v>
      </c>
      <c r="BF32" s="167" t="s">
        <v>252</v>
      </c>
      <c r="BG32" s="167" t="s">
        <v>309</v>
      </c>
      <c r="BH32" s="167" t="s">
        <v>263</v>
      </c>
      <c r="BI32" s="167" t="s">
        <v>264</v>
      </c>
      <c r="BJ32" s="33" cm="1">
        <f t="array" ref="BJ32">SUMPRODUCT(COUNTIF(F32:BI32, {"C","SM"}))</f>
        <v>6</v>
      </c>
      <c r="BK32" s="33">
        <f>COUNTIF(F32:BI32, "CV")</f>
        <v>9</v>
      </c>
      <c r="BL32" s="33">
        <f t="shared" ref="BL32:BL42" si="11">BJ32+BK32</f>
        <v>15</v>
      </c>
      <c r="BM32" s="33" cm="1">
        <f t="array" ref="BM32">SUMPRODUCT(COUNTIF(F32:BI32, {"AT","PCAT","DO"}))</f>
        <v>11</v>
      </c>
      <c r="BN32" s="34" cm="1">
        <f t="array" ref="BN32">SUMPRODUCT(COUNTIF(F32:BI32, {"GME","DFM","DOFM"}))</f>
        <v>6</v>
      </c>
      <c r="BO32" s="34">
        <f>COUNTIF(F32:BI32, "LV")</f>
        <v>0</v>
      </c>
      <c r="BP32" s="143">
        <f>COUNTIF(F32:BI32, "FMIT")</f>
        <v>0</v>
      </c>
      <c r="BQ32" s="34">
        <f>COUNTIF(F4:BI4, "KINKENNON")</f>
        <v>0</v>
      </c>
      <c r="BR32" s="34">
        <f>COUNTIF(L4,"KINKENNON")+COUNTIF(Z4,"KINKENNON")+COUNTIF(AN4,"KINKENNON")+COUNTIF(BB4,"KINKENNON")</f>
        <v>0</v>
      </c>
      <c r="BS32" s="155"/>
      <c r="BT32" s="155"/>
      <c r="BU32" s="155"/>
      <c r="BV32" s="155"/>
      <c r="BW32" s="155"/>
    </row>
    <row r="33" spans="1:75" ht="20" x14ac:dyDescent="0.2">
      <c r="A33" s="21" t="s">
        <v>220</v>
      </c>
      <c r="B33" s="21" t="s">
        <v>220</v>
      </c>
      <c r="C33" s="81" t="s">
        <v>260</v>
      </c>
      <c r="D33" s="26" t="s">
        <v>261</v>
      </c>
      <c r="E33" s="27" t="s">
        <v>594</v>
      </c>
      <c r="F33" s="167" t="s">
        <v>252</v>
      </c>
      <c r="G33" s="167" t="s">
        <v>251</v>
      </c>
      <c r="H33" s="167" t="s">
        <v>385</v>
      </c>
      <c r="I33" s="167" t="s">
        <v>385</v>
      </c>
      <c r="J33" s="167" t="s">
        <v>385</v>
      </c>
      <c r="K33" s="167" t="s">
        <v>385</v>
      </c>
      <c r="L33" s="167" t="s">
        <v>385</v>
      </c>
      <c r="M33" s="167" t="s">
        <v>385</v>
      </c>
      <c r="N33" s="167" t="s">
        <v>385</v>
      </c>
      <c r="O33" s="167" t="s">
        <v>385</v>
      </c>
      <c r="P33" s="167" t="s">
        <v>251</v>
      </c>
      <c r="Q33" s="167" t="s">
        <v>309</v>
      </c>
      <c r="R33" s="167" t="s">
        <v>263</v>
      </c>
      <c r="S33" s="167" t="s">
        <v>264</v>
      </c>
      <c r="T33" s="167" t="s">
        <v>257</v>
      </c>
      <c r="U33" s="167" t="s">
        <v>252</v>
      </c>
      <c r="V33" s="167" t="s">
        <v>257</v>
      </c>
      <c r="W33" s="167" t="s">
        <v>309</v>
      </c>
      <c r="X33" s="167" t="s">
        <v>243</v>
      </c>
      <c r="Y33" s="167" t="s">
        <v>243</v>
      </c>
      <c r="Z33" s="167" t="s">
        <v>243</v>
      </c>
      <c r="AA33" s="167" t="s">
        <v>243</v>
      </c>
      <c r="AB33" s="167" t="s">
        <v>263</v>
      </c>
      <c r="AC33" s="167" t="s">
        <v>264</v>
      </c>
      <c r="AD33" s="167" t="s">
        <v>257</v>
      </c>
      <c r="AE33" s="167" t="s">
        <v>252</v>
      </c>
      <c r="AF33" s="167" t="s">
        <v>251</v>
      </c>
      <c r="AG33" s="167" t="s">
        <v>269</v>
      </c>
      <c r="AH33" s="167" t="s">
        <v>252</v>
      </c>
      <c r="AI33" s="167" t="s">
        <v>309</v>
      </c>
      <c r="AJ33" s="167" t="s">
        <v>257</v>
      </c>
      <c r="AK33" s="167" t="s">
        <v>251</v>
      </c>
      <c r="AL33" s="167" t="s">
        <v>243</v>
      </c>
      <c r="AM33" s="167" t="s">
        <v>243</v>
      </c>
      <c r="AN33" s="167" t="s">
        <v>243</v>
      </c>
      <c r="AO33" s="167" t="s">
        <v>243</v>
      </c>
      <c r="AP33" s="167" t="s">
        <v>252</v>
      </c>
      <c r="AQ33" s="167" t="s">
        <v>309</v>
      </c>
      <c r="AR33" s="167" t="s">
        <v>251</v>
      </c>
      <c r="AS33" s="167" t="s">
        <v>257</v>
      </c>
      <c r="AT33" s="167" t="s">
        <v>251</v>
      </c>
      <c r="AU33" s="167" t="s">
        <v>272</v>
      </c>
      <c r="AV33" s="167" t="s">
        <v>252</v>
      </c>
      <c r="AW33" s="167" t="s">
        <v>309</v>
      </c>
      <c r="AX33" s="167" t="s">
        <v>257</v>
      </c>
      <c r="AY33" s="167" t="s">
        <v>251</v>
      </c>
      <c r="AZ33" s="167" t="s">
        <v>243</v>
      </c>
      <c r="BA33" s="167" t="s">
        <v>243</v>
      </c>
      <c r="BB33" s="167" t="s">
        <v>243</v>
      </c>
      <c r="BC33" s="167" t="s">
        <v>243</v>
      </c>
      <c r="BD33" s="167" t="s">
        <v>257</v>
      </c>
      <c r="BE33" s="167" t="s">
        <v>309</v>
      </c>
      <c r="BF33" s="167" t="s">
        <v>252</v>
      </c>
      <c r="BG33" s="167" t="s">
        <v>257</v>
      </c>
      <c r="BH33" s="167" t="s">
        <v>250</v>
      </c>
      <c r="BI33" s="167" t="s">
        <v>251</v>
      </c>
      <c r="BJ33" s="33" cm="1">
        <f t="array" ref="BJ33">SUMPRODUCT(COUNTIF(F33:BI33, {"C","SM"}))</f>
        <v>7</v>
      </c>
      <c r="BK33" s="33">
        <f t="shared" ref="BK33:BK35" si="12">COUNTIF(F33:BI33, "CV")</f>
        <v>6</v>
      </c>
      <c r="BL33" s="33">
        <f t="shared" si="11"/>
        <v>13</v>
      </c>
      <c r="BM33" s="33" cm="1">
        <f t="array" ref="BM33">SUMPRODUCT(COUNTIF(F33:BI33, {"AT","PCAT","DO"}))</f>
        <v>12</v>
      </c>
      <c r="BN33" s="34" cm="1">
        <f t="array" ref="BN33">SUMPRODUCT(COUNTIF(F33:BI33, {"GME","DFM","DOFM"}))</f>
        <v>8</v>
      </c>
      <c r="BO33" s="34">
        <f t="shared" ref="BO33:BO35" si="13">COUNTIF(F33:BI33, "LV")</f>
        <v>0</v>
      </c>
      <c r="BP33" s="143">
        <f t="shared" ref="BP33:BP35" si="14">COUNTIF(F33:BI33, "FMIT")</f>
        <v>0</v>
      </c>
      <c r="BQ33" s="34">
        <f>COUNTIF(F4:BI4, "LABOUNTY")</f>
        <v>0</v>
      </c>
      <c r="BR33" s="34">
        <f>COUNTIF(L4,"LABOUNTY")+COUNTIF(Z4,"LABOUNTY")+COUNTIF(AN4,"LABOUNTY")+COUNTIF(BB4,"LABOUNTY")</f>
        <v>0</v>
      </c>
      <c r="BS33" s="155"/>
      <c r="BT33" s="155"/>
      <c r="BU33" s="155"/>
      <c r="BV33" s="155"/>
      <c r="BW33" s="155"/>
    </row>
    <row r="34" spans="1:75" ht="20" x14ac:dyDescent="0.2">
      <c r="A34" s="21" t="s">
        <v>220</v>
      </c>
      <c r="B34" s="21" t="s">
        <v>220</v>
      </c>
      <c r="C34" s="81" t="s">
        <v>260</v>
      </c>
      <c r="D34" s="26" t="s">
        <v>261</v>
      </c>
      <c r="E34" s="27" t="s">
        <v>595</v>
      </c>
      <c r="F34" s="167" t="s">
        <v>253</v>
      </c>
      <c r="G34" s="167" t="s">
        <v>253</v>
      </c>
      <c r="H34" s="167" t="s">
        <v>253</v>
      </c>
      <c r="I34" s="167" t="s">
        <v>253</v>
      </c>
      <c r="J34" s="167" t="s">
        <v>253</v>
      </c>
      <c r="K34" s="167" t="s">
        <v>253</v>
      </c>
      <c r="L34" s="167" t="s">
        <v>253</v>
      </c>
      <c r="M34" s="167" t="s">
        <v>253</v>
      </c>
      <c r="N34" s="167" t="s">
        <v>253</v>
      </c>
      <c r="O34" s="167" t="s">
        <v>253</v>
      </c>
      <c r="P34" s="167" t="s">
        <v>253</v>
      </c>
      <c r="Q34" s="167" t="s">
        <v>253</v>
      </c>
      <c r="R34" s="167" t="s">
        <v>253</v>
      </c>
      <c r="S34" s="167" t="s">
        <v>253</v>
      </c>
      <c r="T34" s="167" t="s">
        <v>253</v>
      </c>
      <c r="U34" s="167" t="s">
        <v>253</v>
      </c>
      <c r="V34" s="167" t="s">
        <v>253</v>
      </c>
      <c r="W34" s="167" t="s">
        <v>253</v>
      </c>
      <c r="X34" s="167" t="s">
        <v>253</v>
      </c>
      <c r="Y34" s="167" t="s">
        <v>253</v>
      </c>
      <c r="Z34" s="167" t="s">
        <v>253</v>
      </c>
      <c r="AA34" s="167" t="s">
        <v>253</v>
      </c>
      <c r="AB34" s="167" t="s">
        <v>367</v>
      </c>
      <c r="AC34" s="167" t="s">
        <v>367</v>
      </c>
      <c r="AD34" s="167" t="s">
        <v>309</v>
      </c>
      <c r="AE34" s="167" t="s">
        <v>367</v>
      </c>
      <c r="AF34" s="167" t="s">
        <v>367</v>
      </c>
      <c r="AG34" s="167" t="s">
        <v>269</v>
      </c>
      <c r="AH34" s="167" t="s">
        <v>263</v>
      </c>
      <c r="AI34" s="167" t="s">
        <v>264</v>
      </c>
      <c r="AJ34" s="167" t="s">
        <v>367</v>
      </c>
      <c r="AK34" s="167" t="s">
        <v>367</v>
      </c>
      <c r="AL34" s="167" t="s">
        <v>243</v>
      </c>
      <c r="AM34" s="167" t="s">
        <v>243</v>
      </c>
      <c r="AN34" s="167" t="s">
        <v>243</v>
      </c>
      <c r="AO34" s="167" t="s">
        <v>243</v>
      </c>
      <c r="AP34" s="167" t="s">
        <v>367</v>
      </c>
      <c r="AQ34" s="167" t="s">
        <v>367</v>
      </c>
      <c r="AR34" s="167" t="s">
        <v>367</v>
      </c>
      <c r="AS34" s="167" t="s">
        <v>309</v>
      </c>
      <c r="AT34" s="167" t="s">
        <v>367</v>
      </c>
      <c r="AU34" s="167" t="s">
        <v>367</v>
      </c>
      <c r="AV34" s="167" t="s">
        <v>263</v>
      </c>
      <c r="AW34" s="167" t="s">
        <v>264</v>
      </c>
      <c r="AX34" s="167" t="s">
        <v>367</v>
      </c>
      <c r="AY34" s="167" t="s">
        <v>367</v>
      </c>
      <c r="AZ34" s="167" t="s">
        <v>243</v>
      </c>
      <c r="BA34" s="167" t="s">
        <v>243</v>
      </c>
      <c r="BB34" s="167" t="s">
        <v>243</v>
      </c>
      <c r="BC34" s="167" t="s">
        <v>243</v>
      </c>
      <c r="BD34" s="167" t="s">
        <v>377</v>
      </c>
      <c r="BE34" s="167" t="s">
        <v>377</v>
      </c>
      <c r="BF34" s="167" t="s">
        <v>377</v>
      </c>
      <c r="BG34" s="167" t="s">
        <v>377</v>
      </c>
      <c r="BH34" s="167" t="s">
        <v>377</v>
      </c>
      <c r="BI34" s="167" t="s">
        <v>377</v>
      </c>
      <c r="BJ34" s="33" cm="1">
        <f t="array" ref="BJ34">SUMPRODUCT(COUNTIF(F34:BI34, {"C","SM"}))</f>
        <v>0</v>
      </c>
      <c r="BK34" s="33">
        <f t="shared" si="12"/>
        <v>2</v>
      </c>
      <c r="BL34" s="33">
        <f t="shared" si="11"/>
        <v>2</v>
      </c>
      <c r="BM34" s="33" cm="1">
        <f t="array" ref="BM34">SUMPRODUCT(COUNTIF(F34:BI34, {"AT","PCAT","DO"}))</f>
        <v>4</v>
      </c>
      <c r="BN34" s="34" cm="1">
        <f t="array" ref="BN34">SUMPRODUCT(COUNTIF(F34:BI34, {"GME","DFM","DOFM"}))</f>
        <v>13</v>
      </c>
      <c r="BO34" s="34">
        <f t="shared" si="13"/>
        <v>22</v>
      </c>
      <c r="BP34" s="143">
        <f t="shared" si="14"/>
        <v>0</v>
      </c>
      <c r="BQ34" s="34">
        <f>COUNTIF(F4:BI4, "MCGUIRE")</f>
        <v>0</v>
      </c>
      <c r="BR34" s="34">
        <f>COUNTIF(L4,"MCGUIRE")+COUNTIF(Z4,"MCGUIRE")+COUNTIF(AN4,"MCGUIRE")+COUNTIF(BB4,"MCGUIRE")</f>
        <v>0</v>
      </c>
      <c r="BS34" s="155"/>
      <c r="BT34" s="155"/>
      <c r="BU34" s="155"/>
      <c r="BV34" s="155"/>
      <c r="BW34" s="155"/>
    </row>
    <row r="35" spans="1:75" ht="20" x14ac:dyDescent="0.2">
      <c r="A35" s="21" t="s">
        <v>220</v>
      </c>
      <c r="B35" s="21" t="s">
        <v>220</v>
      </c>
      <c r="C35" s="81" t="s">
        <v>260</v>
      </c>
      <c r="D35" s="26" t="s">
        <v>261</v>
      </c>
      <c r="E35" s="27" t="s">
        <v>596</v>
      </c>
      <c r="F35" s="167" t="s">
        <v>367</v>
      </c>
      <c r="G35" s="167" t="s">
        <v>367</v>
      </c>
      <c r="H35" s="167" t="s">
        <v>263</v>
      </c>
      <c r="I35" s="167" t="s">
        <v>264</v>
      </c>
      <c r="J35" s="167" t="s">
        <v>243</v>
      </c>
      <c r="K35" s="167" t="s">
        <v>243</v>
      </c>
      <c r="L35" s="167" t="s">
        <v>243</v>
      </c>
      <c r="M35" s="167" t="s">
        <v>243</v>
      </c>
      <c r="N35" s="167" t="s">
        <v>248</v>
      </c>
      <c r="O35" s="167" t="s">
        <v>249</v>
      </c>
      <c r="P35" s="167" t="s">
        <v>367</v>
      </c>
      <c r="Q35" s="167" t="s">
        <v>367</v>
      </c>
      <c r="R35" s="167" t="s">
        <v>257</v>
      </c>
      <c r="S35" s="167" t="s">
        <v>250</v>
      </c>
      <c r="T35" s="167" t="s">
        <v>257</v>
      </c>
      <c r="U35" s="167" t="s">
        <v>309</v>
      </c>
      <c r="V35" s="167" t="s">
        <v>252</v>
      </c>
      <c r="W35" s="167" t="s">
        <v>257</v>
      </c>
      <c r="X35" s="167" t="s">
        <v>243</v>
      </c>
      <c r="Y35" s="167" t="s">
        <v>243</v>
      </c>
      <c r="Z35" s="167" t="s">
        <v>243</v>
      </c>
      <c r="AA35" s="167" t="s">
        <v>243</v>
      </c>
      <c r="AB35" s="167" t="s">
        <v>367</v>
      </c>
      <c r="AC35" s="167" t="s">
        <v>367</v>
      </c>
      <c r="AD35" s="167" t="s">
        <v>252</v>
      </c>
      <c r="AE35" s="167" t="s">
        <v>257</v>
      </c>
      <c r="AF35" s="167" t="s">
        <v>257</v>
      </c>
      <c r="AG35" s="167" t="s">
        <v>269</v>
      </c>
      <c r="AH35" s="167" t="s">
        <v>251</v>
      </c>
      <c r="AI35" s="167" t="s">
        <v>251</v>
      </c>
      <c r="AJ35" s="167" t="s">
        <v>209</v>
      </c>
      <c r="AK35" s="167" t="s">
        <v>209</v>
      </c>
      <c r="AL35" s="167" t="s">
        <v>209</v>
      </c>
      <c r="AM35" s="167" t="s">
        <v>209</v>
      </c>
      <c r="AN35" s="167" t="s">
        <v>209</v>
      </c>
      <c r="AO35" s="167" t="s">
        <v>209</v>
      </c>
      <c r="AP35" s="167" t="s">
        <v>209</v>
      </c>
      <c r="AQ35" s="167" t="s">
        <v>209</v>
      </c>
      <c r="AR35" s="167" t="s">
        <v>209</v>
      </c>
      <c r="AS35" s="167" t="s">
        <v>209</v>
      </c>
      <c r="AT35" s="167" t="s">
        <v>209</v>
      </c>
      <c r="AU35" s="167" t="s">
        <v>209</v>
      </c>
      <c r="AV35" s="167" t="s">
        <v>209</v>
      </c>
      <c r="AW35" s="167" t="s">
        <v>209</v>
      </c>
      <c r="AX35" s="167" t="s">
        <v>256</v>
      </c>
      <c r="AY35" s="167" t="s">
        <v>256</v>
      </c>
      <c r="AZ35" s="167" t="s">
        <v>243</v>
      </c>
      <c r="BA35" s="167" t="s">
        <v>243</v>
      </c>
      <c r="BB35" s="167" t="s">
        <v>243</v>
      </c>
      <c r="BC35" s="167" t="s">
        <v>243</v>
      </c>
      <c r="BD35" s="167" t="s">
        <v>367</v>
      </c>
      <c r="BE35" s="167" t="s">
        <v>367</v>
      </c>
      <c r="BF35" s="167" t="s">
        <v>252</v>
      </c>
      <c r="BG35" s="167" t="s">
        <v>309</v>
      </c>
      <c r="BH35" s="167" t="s">
        <v>250</v>
      </c>
      <c r="BI35" s="167" t="s">
        <v>251</v>
      </c>
      <c r="BJ35" s="33" cm="1">
        <f t="array" ref="BJ35">SUMPRODUCT(COUNTIF(F35:BI35, {"C","SM"}))</f>
        <v>3</v>
      </c>
      <c r="BK35" s="33">
        <f t="shared" si="12"/>
        <v>2</v>
      </c>
      <c r="BL35" s="33">
        <f t="shared" si="11"/>
        <v>5</v>
      </c>
      <c r="BM35" s="33" cm="1">
        <f t="array" ref="BM35">SUMPRODUCT(COUNTIF(F35:BI35, {"AT","PCAT","DO"}))</f>
        <v>7</v>
      </c>
      <c r="BN35" s="34" cm="1">
        <f t="array" ref="BN35">SUMPRODUCT(COUNTIF(F35:BI35, {"GME","DFM","DOFM"}))</f>
        <v>11</v>
      </c>
      <c r="BO35" s="34">
        <f t="shared" si="13"/>
        <v>0</v>
      </c>
      <c r="BP35" s="143">
        <f t="shared" si="14"/>
        <v>14</v>
      </c>
      <c r="BQ35" s="34">
        <f>COUNTIF(F4:BI4, "DAHL")</f>
        <v>0</v>
      </c>
      <c r="BR35" s="34">
        <f>COUNTIF(L4,"DAHL")+COUNTIF(Z4,"DAHL")+COUNTIF(AN4,"DAHL")+COUNTIF(BB4,"DAHL")</f>
        <v>0</v>
      </c>
      <c r="BS35" s="155"/>
      <c r="BT35" s="155"/>
      <c r="BU35" s="155"/>
      <c r="BV35" s="155"/>
      <c r="BW35" s="155"/>
    </row>
    <row r="36" spans="1:75" ht="20" x14ac:dyDescent="0.2">
      <c r="A36" s="21" t="s">
        <v>220</v>
      </c>
      <c r="B36" s="21" t="s">
        <v>220</v>
      </c>
      <c r="C36" s="81" t="s">
        <v>260</v>
      </c>
      <c r="D36" s="26" t="s">
        <v>261</v>
      </c>
      <c r="E36" s="27" t="s">
        <v>582</v>
      </c>
      <c r="F36" s="167" t="s">
        <v>252</v>
      </c>
      <c r="G36" s="167" t="s">
        <v>251</v>
      </c>
      <c r="H36" s="167" t="s">
        <v>251</v>
      </c>
      <c r="I36" s="167" t="s">
        <v>257</v>
      </c>
      <c r="J36" s="167" t="s">
        <v>243</v>
      </c>
      <c r="K36" s="167" t="s">
        <v>243</v>
      </c>
      <c r="L36" s="167" t="s">
        <v>243</v>
      </c>
      <c r="M36" s="167" t="s">
        <v>243</v>
      </c>
      <c r="N36" s="167" t="s">
        <v>248</v>
      </c>
      <c r="O36" s="167" t="s">
        <v>249</v>
      </c>
      <c r="P36" s="167" t="s">
        <v>309</v>
      </c>
      <c r="Q36" s="167" t="s">
        <v>257</v>
      </c>
      <c r="R36" s="167" t="s">
        <v>309</v>
      </c>
      <c r="S36" s="167" t="s">
        <v>250</v>
      </c>
      <c r="T36" s="167" t="s">
        <v>251</v>
      </c>
      <c r="U36" s="167" t="s">
        <v>257</v>
      </c>
      <c r="V36" s="167" t="s">
        <v>252</v>
      </c>
      <c r="W36" s="167" t="s">
        <v>257</v>
      </c>
      <c r="X36" s="167" t="s">
        <v>243</v>
      </c>
      <c r="Y36" s="167" t="s">
        <v>243</v>
      </c>
      <c r="Z36" s="167" t="s">
        <v>243</v>
      </c>
      <c r="AA36" s="167" t="s">
        <v>243</v>
      </c>
      <c r="AB36" s="167" t="s">
        <v>257</v>
      </c>
      <c r="AC36" s="167" t="s">
        <v>257</v>
      </c>
      <c r="AD36" s="167" t="s">
        <v>252</v>
      </c>
      <c r="AE36" s="167" t="s">
        <v>257</v>
      </c>
      <c r="AF36" s="167" t="s">
        <v>309</v>
      </c>
      <c r="AG36" s="167" t="s">
        <v>269</v>
      </c>
      <c r="AH36" s="167" t="s">
        <v>252</v>
      </c>
      <c r="AI36" s="167" t="s">
        <v>309</v>
      </c>
      <c r="AJ36" s="167" t="s">
        <v>251</v>
      </c>
      <c r="AK36" s="167" t="s">
        <v>251</v>
      </c>
      <c r="AL36" s="167" t="s">
        <v>243</v>
      </c>
      <c r="AM36" s="167" t="s">
        <v>243</v>
      </c>
      <c r="AN36" s="167" t="s">
        <v>243</v>
      </c>
      <c r="AO36" s="167" t="s">
        <v>243</v>
      </c>
      <c r="AP36" s="167" t="s">
        <v>309</v>
      </c>
      <c r="AQ36" s="167" t="s">
        <v>257</v>
      </c>
      <c r="AR36" s="167" t="s">
        <v>263</v>
      </c>
      <c r="AS36" s="167" t="s">
        <v>264</v>
      </c>
      <c r="AT36" s="167" t="s">
        <v>251</v>
      </c>
      <c r="AU36" s="167" t="s">
        <v>272</v>
      </c>
      <c r="AV36" s="167" t="s">
        <v>251</v>
      </c>
      <c r="AW36" s="167" t="s">
        <v>252</v>
      </c>
      <c r="AX36" s="167" t="s">
        <v>309</v>
      </c>
      <c r="AY36" s="167" t="s">
        <v>257</v>
      </c>
      <c r="AZ36" s="167" t="s">
        <v>243</v>
      </c>
      <c r="BA36" s="167" t="s">
        <v>243</v>
      </c>
      <c r="BB36" s="167" t="s">
        <v>243</v>
      </c>
      <c r="BC36" s="167" t="s">
        <v>243</v>
      </c>
      <c r="BD36" s="167" t="s">
        <v>263</v>
      </c>
      <c r="BE36" s="167" t="s">
        <v>264</v>
      </c>
      <c r="BF36" s="167" t="s">
        <v>309</v>
      </c>
      <c r="BG36" s="167" t="s">
        <v>257</v>
      </c>
      <c r="BH36" s="167" t="s">
        <v>250</v>
      </c>
      <c r="BI36" s="167" t="s">
        <v>251</v>
      </c>
      <c r="BJ36" s="33" cm="1">
        <f t="array" ref="BJ36">SUMPRODUCT(COUNTIF(F36:BI36, {"C","SM"}))</f>
        <v>5</v>
      </c>
      <c r="BK36" s="33">
        <f>COUNTIF(F36:BI36, "CV")</f>
        <v>7</v>
      </c>
      <c r="BL36" s="33">
        <f t="shared" si="11"/>
        <v>12</v>
      </c>
      <c r="BM36" s="33" cm="1">
        <f t="array" ref="BM36">SUMPRODUCT(COUNTIF(F36:BI36, {"AT","PCAT","DO"}))</f>
        <v>14</v>
      </c>
      <c r="BN36" s="34" cm="1">
        <f t="array" ref="BN36">SUMPRODUCT(COUNTIF(F36:BI36, {"GME","DFM","DOFM"}))</f>
        <v>8</v>
      </c>
      <c r="BO36" s="34">
        <f>COUNTIF(F36:BI36, "LV")</f>
        <v>0</v>
      </c>
      <c r="BP36" s="143">
        <f>COUNTIF(F36:BI36, "FMIT")</f>
        <v>0</v>
      </c>
      <c r="BQ36" s="34">
        <f>COUNTIF(F4:BI4, "MCRAE")</f>
        <v>0</v>
      </c>
      <c r="BR36" s="34">
        <f>COUNTIF(L4,"MCRAE")+COUNTIF(Z4,"MCRAE")+COUNTIF(AN4,"MCRAE")+COUNTIF(BB4,"MCRAE")</f>
        <v>0</v>
      </c>
      <c r="BS36" s="155"/>
      <c r="BT36" s="155"/>
      <c r="BU36" s="155"/>
      <c r="BV36" s="155"/>
      <c r="BW36" s="155"/>
    </row>
    <row r="37" spans="1:75" ht="20" x14ac:dyDescent="0.2">
      <c r="A37" s="21" t="s">
        <v>220</v>
      </c>
      <c r="B37" s="21" t="s">
        <v>220</v>
      </c>
      <c r="C37" s="81" t="s">
        <v>260</v>
      </c>
      <c r="D37" s="26" t="s">
        <v>261</v>
      </c>
      <c r="E37" s="27" t="s">
        <v>583</v>
      </c>
      <c r="F37" s="167" t="s">
        <v>209</v>
      </c>
      <c r="G37" s="167" t="s">
        <v>209</v>
      </c>
      <c r="H37" s="167" t="s">
        <v>385</v>
      </c>
      <c r="I37" s="167" t="s">
        <v>385</v>
      </c>
      <c r="J37" s="167" t="s">
        <v>385</v>
      </c>
      <c r="K37" s="167" t="s">
        <v>385</v>
      </c>
      <c r="L37" s="167" t="s">
        <v>385</v>
      </c>
      <c r="M37" s="167" t="s">
        <v>385</v>
      </c>
      <c r="N37" s="167" t="s">
        <v>385</v>
      </c>
      <c r="O37" s="167" t="s">
        <v>385</v>
      </c>
      <c r="P37" s="167" t="s">
        <v>81</v>
      </c>
      <c r="Q37" s="167" t="s">
        <v>81</v>
      </c>
      <c r="R37" s="167" t="s">
        <v>268</v>
      </c>
      <c r="S37" s="167" t="s">
        <v>250</v>
      </c>
      <c r="T37" s="167" t="s">
        <v>81</v>
      </c>
      <c r="U37" s="167" t="s">
        <v>251</v>
      </c>
      <c r="V37" s="167" t="s">
        <v>209</v>
      </c>
      <c r="W37" s="167" t="s">
        <v>209</v>
      </c>
      <c r="X37" s="167" t="s">
        <v>209</v>
      </c>
      <c r="Y37" s="167" t="s">
        <v>209</v>
      </c>
      <c r="Z37" s="167" t="s">
        <v>209</v>
      </c>
      <c r="AA37" s="167" t="s">
        <v>209</v>
      </c>
      <c r="AB37" s="167" t="s">
        <v>209</v>
      </c>
      <c r="AC37" s="167" t="s">
        <v>209</v>
      </c>
      <c r="AD37" s="167" t="s">
        <v>209</v>
      </c>
      <c r="AE37" s="167" t="s">
        <v>209</v>
      </c>
      <c r="AF37" s="167" t="s">
        <v>209</v>
      </c>
      <c r="AG37" s="167" t="s">
        <v>209</v>
      </c>
      <c r="AH37" s="167" t="s">
        <v>209</v>
      </c>
      <c r="AI37" s="167" t="s">
        <v>209</v>
      </c>
      <c r="AJ37" s="167" t="s">
        <v>256</v>
      </c>
      <c r="AK37" s="167" t="s">
        <v>256</v>
      </c>
      <c r="AL37" s="167" t="s">
        <v>243</v>
      </c>
      <c r="AM37" s="167" t="s">
        <v>243</v>
      </c>
      <c r="AN37" s="167" t="s">
        <v>243</v>
      </c>
      <c r="AO37" s="167" t="s">
        <v>243</v>
      </c>
      <c r="AP37" s="167" t="s">
        <v>251</v>
      </c>
      <c r="AQ37" s="167" t="s">
        <v>251</v>
      </c>
      <c r="AR37" s="167" t="s">
        <v>81</v>
      </c>
      <c r="AS37" s="167" t="s">
        <v>81</v>
      </c>
      <c r="AT37" s="167" t="s">
        <v>268</v>
      </c>
      <c r="AU37" s="167" t="s">
        <v>272</v>
      </c>
      <c r="AV37" s="167" t="s">
        <v>81</v>
      </c>
      <c r="AW37" s="167" t="s">
        <v>257</v>
      </c>
      <c r="AX37" s="167" t="s">
        <v>209</v>
      </c>
      <c r="AY37" s="167" t="s">
        <v>209</v>
      </c>
      <c r="AZ37" s="167" t="s">
        <v>209</v>
      </c>
      <c r="BA37" s="167" t="s">
        <v>209</v>
      </c>
      <c r="BB37" s="167" t="s">
        <v>209</v>
      </c>
      <c r="BC37" s="167" t="s">
        <v>209</v>
      </c>
      <c r="BD37" s="167" t="s">
        <v>209</v>
      </c>
      <c r="BE37" s="167" t="s">
        <v>209</v>
      </c>
      <c r="BF37" s="167" t="s">
        <v>209</v>
      </c>
      <c r="BG37" s="167" t="s">
        <v>209</v>
      </c>
      <c r="BH37" s="167" t="s">
        <v>209</v>
      </c>
      <c r="BI37" s="167" t="s">
        <v>209</v>
      </c>
      <c r="BJ37" s="33" cm="1">
        <f t="array" ref="BJ37">SUMPRODUCT(COUNTIF(F37:BI37, {"C","SM"}))</f>
        <v>6</v>
      </c>
      <c r="BK37" s="33">
        <f>COUNTIF(F37:BI37, "CV")</f>
        <v>0</v>
      </c>
      <c r="BL37" s="33">
        <f t="shared" si="11"/>
        <v>6</v>
      </c>
      <c r="BM37" s="33" cm="1">
        <f t="array" ref="BM37">SUMPRODUCT(COUNTIF(F37:BI37, {"AT","PCAT","DO"}))</f>
        <v>1</v>
      </c>
      <c r="BN37" s="34" cm="1">
        <f t="array" ref="BN37">SUMPRODUCT(COUNTIF(F37:BI37, {"GME","DFM","DOFM"}))</f>
        <v>3</v>
      </c>
      <c r="BO37" s="34">
        <f>COUNTIF(F37:BI37, "LV")</f>
        <v>0</v>
      </c>
      <c r="BP37" s="143">
        <f>COUNTIF(F37:BI37, "FMIT")</f>
        <v>28</v>
      </c>
      <c r="BQ37" s="34">
        <f>COUNTIF(F4:BI4, "TAGAWA")</f>
        <v>0</v>
      </c>
      <c r="BR37" s="34">
        <f>COUNTIF(K3, "Tagawa") + COUNTIF(Y3, "Tagawa") + COUNTIF(AM3, "Tagawa") + COUNTIF(BA3, "Tagawa")</f>
        <v>0</v>
      </c>
      <c r="BS37" s="155"/>
      <c r="BT37" s="155"/>
      <c r="BU37" s="155"/>
      <c r="BV37" s="155"/>
      <c r="BW37" s="155"/>
    </row>
    <row r="38" spans="1:75" ht="20" x14ac:dyDescent="0.2">
      <c r="A38" s="21" t="s">
        <v>220</v>
      </c>
      <c r="B38" s="21" t="s">
        <v>220</v>
      </c>
      <c r="C38" s="81" t="s">
        <v>260</v>
      </c>
      <c r="D38" s="26" t="s">
        <v>261</v>
      </c>
      <c r="E38" s="30" t="s">
        <v>584</v>
      </c>
      <c r="F38" s="167" t="s">
        <v>263</v>
      </c>
      <c r="G38" s="167" t="s">
        <v>264</v>
      </c>
      <c r="H38" s="167" t="s">
        <v>251</v>
      </c>
      <c r="I38" s="167" t="s">
        <v>251</v>
      </c>
      <c r="J38" s="167" t="s">
        <v>243</v>
      </c>
      <c r="K38" s="167" t="s">
        <v>243</v>
      </c>
      <c r="L38" s="167" t="s">
        <v>243</v>
      </c>
      <c r="M38" s="167" t="s">
        <v>243</v>
      </c>
      <c r="N38" s="167" t="s">
        <v>248</v>
      </c>
      <c r="O38" s="167" t="s">
        <v>249</v>
      </c>
      <c r="P38" s="167" t="s">
        <v>252</v>
      </c>
      <c r="Q38" s="167" t="s">
        <v>309</v>
      </c>
      <c r="R38" s="167" t="s">
        <v>257</v>
      </c>
      <c r="S38" s="167" t="s">
        <v>250</v>
      </c>
      <c r="T38" s="167" t="s">
        <v>251</v>
      </c>
      <c r="U38" s="167" t="s">
        <v>251</v>
      </c>
      <c r="V38" s="167" t="s">
        <v>263</v>
      </c>
      <c r="W38" s="167" t="s">
        <v>264</v>
      </c>
      <c r="X38" s="167" t="s">
        <v>243</v>
      </c>
      <c r="Y38" s="167" t="s">
        <v>243</v>
      </c>
      <c r="Z38" s="167" t="s">
        <v>243</v>
      </c>
      <c r="AA38" s="167" t="s">
        <v>243</v>
      </c>
      <c r="AB38" s="167" t="s">
        <v>252</v>
      </c>
      <c r="AC38" s="167" t="s">
        <v>309</v>
      </c>
      <c r="AD38" s="167" t="s">
        <v>251</v>
      </c>
      <c r="AE38" s="167" t="s">
        <v>251</v>
      </c>
      <c r="AF38" s="167" t="s">
        <v>263</v>
      </c>
      <c r="AG38" s="167" t="s">
        <v>264</v>
      </c>
      <c r="AH38" s="167" t="s">
        <v>251</v>
      </c>
      <c r="AI38" s="167" t="s">
        <v>251</v>
      </c>
      <c r="AJ38" s="167" t="s">
        <v>251</v>
      </c>
      <c r="AK38" s="167" t="s">
        <v>257</v>
      </c>
      <c r="AL38" s="167" t="s">
        <v>243</v>
      </c>
      <c r="AM38" s="167" t="s">
        <v>243</v>
      </c>
      <c r="AN38" s="167" t="s">
        <v>243</v>
      </c>
      <c r="AO38" s="167" t="s">
        <v>243</v>
      </c>
      <c r="AP38" s="167" t="s">
        <v>252</v>
      </c>
      <c r="AQ38" s="167" t="s">
        <v>309</v>
      </c>
      <c r="AR38" s="167" t="s">
        <v>251</v>
      </c>
      <c r="AS38" s="167" t="s">
        <v>257</v>
      </c>
      <c r="AT38" s="167" t="s">
        <v>257</v>
      </c>
      <c r="AU38" s="167" t="s">
        <v>272</v>
      </c>
      <c r="AV38" s="167" t="s">
        <v>251</v>
      </c>
      <c r="AW38" s="167" t="s">
        <v>251</v>
      </c>
      <c r="AX38" s="167" t="s">
        <v>263</v>
      </c>
      <c r="AY38" s="167" t="s">
        <v>264</v>
      </c>
      <c r="AZ38" s="167" t="s">
        <v>243</v>
      </c>
      <c r="BA38" s="167" t="s">
        <v>243</v>
      </c>
      <c r="BB38" s="167" t="s">
        <v>243</v>
      </c>
      <c r="BC38" s="167" t="s">
        <v>243</v>
      </c>
      <c r="BD38" s="167" t="s">
        <v>377</v>
      </c>
      <c r="BE38" s="167" t="s">
        <v>377</v>
      </c>
      <c r="BF38" s="167" t="s">
        <v>377</v>
      </c>
      <c r="BG38" s="167" t="s">
        <v>377</v>
      </c>
      <c r="BH38" s="167" t="s">
        <v>377</v>
      </c>
      <c r="BI38" s="167" t="s">
        <v>377</v>
      </c>
      <c r="BJ38" s="33" cm="1">
        <f t="array" ref="BJ38">SUMPRODUCT(COUNTIF(F38:BI38, {"C","SM"}))</f>
        <v>3</v>
      </c>
      <c r="BK38" s="33">
        <f t="shared" ref="BK38:BK42" si="15">COUNTIF(F38:BI38, "CV")</f>
        <v>3</v>
      </c>
      <c r="BL38" s="33">
        <f t="shared" si="11"/>
        <v>6</v>
      </c>
      <c r="BM38" s="33" cm="1">
        <f t="array" ref="BM38">SUMPRODUCT(COUNTIF(F38:BI38, {"AT","PCAT","DO"}))</f>
        <v>12</v>
      </c>
      <c r="BN38" s="34" cm="1">
        <f t="array" ref="BN38">SUMPRODUCT(COUNTIF(F38:BI38, {"GME","DFM","DOFM"}))</f>
        <v>12</v>
      </c>
      <c r="BO38" s="34">
        <f t="shared" ref="BO38:BO42" si="16">COUNTIF(F38:BI38, "LV")</f>
        <v>0</v>
      </c>
      <c r="BP38" s="143">
        <f t="shared" ref="BP38:BP42" si="17">COUNTIF(F38:BI38, "FMIT")</f>
        <v>0</v>
      </c>
      <c r="BQ38" s="34">
        <f>COUNTIF(F4:BI4, "MONTGOMERY")</f>
        <v>0</v>
      </c>
      <c r="BR38" s="34">
        <f>COUNTIF(L4,"MONTGOMERY")+COUNTIF(Z4,"MONTGOMERY")+COUNTIF(AN4,"MONTGOMERY")+COUNTIF(BB4,"MONTGOMERY")</f>
        <v>0</v>
      </c>
      <c r="BS38" s="155"/>
      <c r="BT38" s="155"/>
      <c r="BU38" s="155"/>
      <c r="BV38" s="155"/>
      <c r="BW38" s="155"/>
    </row>
    <row r="39" spans="1:75" ht="20" x14ac:dyDescent="0.2">
      <c r="A39" s="21" t="s">
        <v>220</v>
      </c>
      <c r="B39" s="21" t="s">
        <v>220</v>
      </c>
      <c r="C39" s="81" t="s">
        <v>260</v>
      </c>
      <c r="D39" s="26" t="s">
        <v>261</v>
      </c>
      <c r="E39" s="30" t="s">
        <v>585</v>
      </c>
      <c r="F39" s="167" t="s">
        <v>251</v>
      </c>
      <c r="G39" s="167" t="s">
        <v>257</v>
      </c>
      <c r="H39" s="167" t="s">
        <v>209</v>
      </c>
      <c r="I39" s="167" t="s">
        <v>209</v>
      </c>
      <c r="J39" s="167" t="s">
        <v>209</v>
      </c>
      <c r="K39" s="167" t="s">
        <v>209</v>
      </c>
      <c r="L39" s="167" t="s">
        <v>209</v>
      </c>
      <c r="M39" s="167" t="s">
        <v>209</v>
      </c>
      <c r="N39" s="167" t="s">
        <v>209</v>
      </c>
      <c r="O39" s="167" t="s">
        <v>209</v>
      </c>
      <c r="P39" s="167" t="s">
        <v>209</v>
      </c>
      <c r="Q39" s="167" t="s">
        <v>209</v>
      </c>
      <c r="R39" s="167" t="s">
        <v>209</v>
      </c>
      <c r="S39" s="167" t="s">
        <v>209</v>
      </c>
      <c r="T39" s="167" t="s">
        <v>209</v>
      </c>
      <c r="U39" s="167" t="s">
        <v>209</v>
      </c>
      <c r="V39" s="167" t="s">
        <v>256</v>
      </c>
      <c r="W39" s="167" t="s">
        <v>256</v>
      </c>
      <c r="X39" s="167" t="s">
        <v>386</v>
      </c>
      <c r="Y39" s="167" t="s">
        <v>386</v>
      </c>
      <c r="Z39" s="167" t="s">
        <v>386</v>
      </c>
      <c r="AA39" s="167" t="s">
        <v>386</v>
      </c>
      <c r="AB39" s="167" t="s">
        <v>386</v>
      </c>
      <c r="AC39" s="167" t="s">
        <v>386</v>
      </c>
      <c r="AD39" s="167" t="s">
        <v>386</v>
      </c>
      <c r="AE39" s="167" t="s">
        <v>386</v>
      </c>
      <c r="AF39" s="167" t="s">
        <v>386</v>
      </c>
      <c r="AG39" s="167" t="s">
        <v>386</v>
      </c>
      <c r="AH39" s="167" t="s">
        <v>386</v>
      </c>
      <c r="AI39" s="167" t="s">
        <v>386</v>
      </c>
      <c r="AJ39" s="167" t="s">
        <v>386</v>
      </c>
      <c r="AK39" s="167" t="s">
        <v>386</v>
      </c>
      <c r="AL39" s="167" t="s">
        <v>386</v>
      </c>
      <c r="AM39" s="167" t="s">
        <v>386</v>
      </c>
      <c r="AN39" s="167" t="s">
        <v>386</v>
      </c>
      <c r="AO39" s="167" t="s">
        <v>386</v>
      </c>
      <c r="AP39" s="167" t="s">
        <v>386</v>
      </c>
      <c r="AQ39" s="167" t="s">
        <v>386</v>
      </c>
      <c r="AR39" s="167" t="s">
        <v>386</v>
      </c>
      <c r="AS39" s="167" t="s">
        <v>386</v>
      </c>
      <c r="AT39" s="167" t="s">
        <v>386</v>
      </c>
      <c r="AU39" s="167" t="s">
        <v>386</v>
      </c>
      <c r="AV39" s="167" t="s">
        <v>386</v>
      </c>
      <c r="AW39" s="167" t="s">
        <v>386</v>
      </c>
      <c r="AX39" s="167" t="s">
        <v>386</v>
      </c>
      <c r="AY39" s="167" t="s">
        <v>386</v>
      </c>
      <c r="AZ39" s="167" t="s">
        <v>386</v>
      </c>
      <c r="BA39" s="167" t="s">
        <v>386</v>
      </c>
      <c r="BB39" s="167" t="s">
        <v>386</v>
      </c>
      <c r="BC39" s="167" t="s">
        <v>386</v>
      </c>
      <c r="BD39" s="167" t="s">
        <v>386</v>
      </c>
      <c r="BE39" s="167" t="s">
        <v>386</v>
      </c>
      <c r="BF39" s="167" t="s">
        <v>386</v>
      </c>
      <c r="BG39" s="167" t="s">
        <v>386</v>
      </c>
      <c r="BH39" s="167" t="s">
        <v>386</v>
      </c>
      <c r="BI39" s="167" t="s">
        <v>386</v>
      </c>
      <c r="BJ39" s="33" cm="1">
        <f t="array" ref="BJ39">SUMPRODUCT(COUNTIF(F39:BI39, {"C","SM"}))</f>
        <v>0</v>
      </c>
      <c r="BK39" s="33">
        <f t="shared" si="15"/>
        <v>0</v>
      </c>
      <c r="BL39" s="33">
        <f t="shared" si="11"/>
        <v>0</v>
      </c>
      <c r="BM39" s="33" cm="1">
        <f t="array" ref="BM39">SUMPRODUCT(COUNTIF(F39:BI39, {"AT","PCAT","DO"}))</f>
        <v>1</v>
      </c>
      <c r="BN39" s="34" cm="1">
        <f t="array" ref="BN39">SUMPRODUCT(COUNTIF(F39:BI39, {"GME","DFM","DOFM"}))</f>
        <v>1</v>
      </c>
      <c r="BO39" s="34">
        <f t="shared" si="16"/>
        <v>0</v>
      </c>
      <c r="BP39" s="143">
        <f t="shared" si="17"/>
        <v>14</v>
      </c>
      <c r="BQ39" s="34">
        <f>COUNTIF(F4:BI4, "COLGAN")</f>
        <v>0</v>
      </c>
      <c r="BR39" s="34">
        <f>COUNTIF(L4,"COLGAN")+COUNTIF(Z4,"COLGAN")+COUNTIF(AN4,"COLGAN")+COUNTIF(BB4,"COLGAN")</f>
        <v>0</v>
      </c>
      <c r="BS39" s="155"/>
      <c r="BT39" s="155"/>
      <c r="BU39" s="155"/>
      <c r="BV39" s="155"/>
      <c r="BW39" s="155"/>
    </row>
    <row r="40" spans="1:75" ht="20" x14ac:dyDescent="0.2">
      <c r="A40" s="21" t="s">
        <v>220</v>
      </c>
      <c r="B40" s="21" t="s">
        <v>220</v>
      </c>
      <c r="C40" s="81" t="s">
        <v>260</v>
      </c>
      <c r="D40" s="26" t="s">
        <v>261</v>
      </c>
      <c r="E40" s="27" t="s">
        <v>106</v>
      </c>
      <c r="F40" s="167" t="s">
        <v>252</v>
      </c>
      <c r="G40" s="167" t="s">
        <v>252</v>
      </c>
      <c r="H40" s="167" t="s">
        <v>251</v>
      </c>
      <c r="I40" s="167" t="s">
        <v>251</v>
      </c>
      <c r="J40" s="167" t="s">
        <v>243</v>
      </c>
      <c r="K40" s="167" t="s">
        <v>243</v>
      </c>
      <c r="L40" s="167" t="s">
        <v>243</v>
      </c>
      <c r="M40" s="167" t="s">
        <v>243</v>
      </c>
      <c r="N40" s="167" t="s">
        <v>248</v>
      </c>
      <c r="O40" s="167" t="s">
        <v>249</v>
      </c>
      <c r="P40" s="167" t="s">
        <v>263</v>
      </c>
      <c r="Q40" s="167" t="s">
        <v>264</v>
      </c>
      <c r="R40" s="167" t="s">
        <v>309</v>
      </c>
      <c r="S40" s="167" t="s">
        <v>250</v>
      </c>
      <c r="T40" s="167" t="s">
        <v>252</v>
      </c>
      <c r="U40" s="167" t="s">
        <v>309</v>
      </c>
      <c r="V40" s="167" t="s">
        <v>253</v>
      </c>
      <c r="W40" s="167" t="s">
        <v>253</v>
      </c>
      <c r="X40" s="167" t="s">
        <v>253</v>
      </c>
      <c r="Y40" s="167" t="s">
        <v>253</v>
      </c>
      <c r="Z40" s="167" t="s">
        <v>253</v>
      </c>
      <c r="AA40" s="167" t="s">
        <v>253</v>
      </c>
      <c r="AB40" s="167" t="s">
        <v>253</v>
      </c>
      <c r="AC40" s="167" t="s">
        <v>253</v>
      </c>
      <c r="AD40" s="167" t="s">
        <v>309</v>
      </c>
      <c r="AE40" s="167" t="s">
        <v>252</v>
      </c>
      <c r="AF40" s="167" t="s">
        <v>257</v>
      </c>
      <c r="AG40" s="167" t="s">
        <v>269</v>
      </c>
      <c r="AH40" s="167" t="s">
        <v>309</v>
      </c>
      <c r="AI40" s="167" t="s">
        <v>252</v>
      </c>
      <c r="AJ40" s="167" t="s">
        <v>251</v>
      </c>
      <c r="AK40" s="167" t="s">
        <v>257</v>
      </c>
      <c r="AL40" s="167" t="s">
        <v>243</v>
      </c>
      <c r="AM40" s="167" t="s">
        <v>243</v>
      </c>
      <c r="AN40" s="167" t="s">
        <v>243</v>
      </c>
      <c r="AO40" s="167" t="s">
        <v>243</v>
      </c>
      <c r="AP40" s="167" t="s">
        <v>309</v>
      </c>
      <c r="AQ40" s="167" t="s">
        <v>257</v>
      </c>
      <c r="AR40" s="167" t="s">
        <v>257</v>
      </c>
      <c r="AS40" s="167" t="s">
        <v>251</v>
      </c>
      <c r="AT40" s="167" t="s">
        <v>257</v>
      </c>
      <c r="AU40" s="167" t="s">
        <v>272</v>
      </c>
      <c r="AV40" s="167" t="s">
        <v>309</v>
      </c>
      <c r="AW40" s="167" t="s">
        <v>309</v>
      </c>
      <c r="AX40" s="167" t="s">
        <v>252</v>
      </c>
      <c r="AY40" s="167" t="s">
        <v>251</v>
      </c>
      <c r="AZ40" s="167" t="s">
        <v>243</v>
      </c>
      <c r="BA40" s="167" t="s">
        <v>243</v>
      </c>
      <c r="BB40" s="167" t="s">
        <v>243</v>
      </c>
      <c r="BC40" s="167" t="s">
        <v>243</v>
      </c>
      <c r="BD40" s="167" t="s">
        <v>252</v>
      </c>
      <c r="BE40" s="167" t="s">
        <v>309</v>
      </c>
      <c r="BF40" s="167" t="s">
        <v>263</v>
      </c>
      <c r="BG40" s="167" t="s">
        <v>264</v>
      </c>
      <c r="BH40" s="167" t="s">
        <v>250</v>
      </c>
      <c r="BI40" s="167" t="s">
        <v>251</v>
      </c>
      <c r="BJ40" s="33" cm="1">
        <f t="array" ref="BJ40">SUMPRODUCT(COUNTIF(F40:BI40, {"C","SM"}))</f>
        <v>7</v>
      </c>
      <c r="BK40" s="33">
        <f t="shared" si="15"/>
        <v>8</v>
      </c>
      <c r="BL40" s="33">
        <f t="shared" si="11"/>
        <v>15</v>
      </c>
      <c r="BM40" s="33" cm="1">
        <f t="array" ref="BM40">SUMPRODUCT(COUNTIF(F40:BI40, {"AT","PCAT","DO"}))</f>
        <v>9</v>
      </c>
      <c r="BN40" s="34" cm="1">
        <f t="array" ref="BN40">SUMPRODUCT(COUNTIF(F40:BI40, {"GME","DFM","DOFM"}))</f>
        <v>6</v>
      </c>
      <c r="BO40" s="34">
        <f t="shared" si="16"/>
        <v>8</v>
      </c>
      <c r="BP40" s="143">
        <f t="shared" si="17"/>
        <v>0</v>
      </c>
      <c r="BQ40" s="34">
        <f>COUNTIF(F4:BI4, "CHU")</f>
        <v>0</v>
      </c>
      <c r="BR40" s="144">
        <f>COUNTIF(L4,"CHU")+COUNTIF(Z4,"CHU")+COUNTIF(AN4,"CHU")+COUNTIF(BB4,"CHU")</f>
        <v>0</v>
      </c>
      <c r="BS40" s="155"/>
      <c r="BT40" s="155"/>
      <c r="BU40" s="155"/>
      <c r="BV40" s="155"/>
      <c r="BW40" s="155"/>
    </row>
    <row r="41" spans="1:75" ht="20" x14ac:dyDescent="0.2">
      <c r="A41" s="21" t="s">
        <v>220</v>
      </c>
      <c r="B41" s="21" t="s">
        <v>220</v>
      </c>
      <c r="C41" s="81" t="s">
        <v>371</v>
      </c>
      <c r="D41" s="26" t="s">
        <v>371</v>
      </c>
      <c r="E41" s="27" t="s">
        <v>586</v>
      </c>
      <c r="F41" s="167"/>
      <c r="G41" s="167"/>
      <c r="H41" s="167"/>
      <c r="I41" s="167"/>
      <c r="J41" s="167" t="s">
        <v>243</v>
      </c>
      <c r="K41" s="167" t="s">
        <v>243</v>
      </c>
      <c r="L41" s="167" t="s">
        <v>243</v>
      </c>
      <c r="M41" s="167" t="s">
        <v>243</v>
      </c>
      <c r="N41" s="167" t="s">
        <v>248</v>
      </c>
      <c r="O41" s="167" t="s">
        <v>249</v>
      </c>
      <c r="P41" s="167"/>
      <c r="Q41" s="167"/>
      <c r="R41" s="167"/>
      <c r="S41" s="167" t="s">
        <v>250</v>
      </c>
      <c r="T41" s="167"/>
      <c r="U41" s="167"/>
      <c r="V41" s="167"/>
      <c r="W41" s="167"/>
      <c r="X41" s="167" t="s">
        <v>243</v>
      </c>
      <c r="Y41" s="167" t="s">
        <v>243</v>
      </c>
      <c r="Z41" s="167" t="s">
        <v>243</v>
      </c>
      <c r="AA41" s="167" t="s">
        <v>243</v>
      </c>
      <c r="AB41" s="167"/>
      <c r="AC41" s="167"/>
      <c r="AD41" s="167"/>
      <c r="AE41" s="167"/>
      <c r="AF41" s="167"/>
      <c r="AG41" s="167" t="s">
        <v>269</v>
      </c>
      <c r="AH41" s="167"/>
      <c r="AI41" s="167"/>
      <c r="AJ41" s="167"/>
      <c r="AK41" s="167"/>
      <c r="AL41" s="167" t="s">
        <v>243</v>
      </c>
      <c r="AM41" s="167" t="s">
        <v>243</v>
      </c>
      <c r="AN41" s="167" t="s">
        <v>243</v>
      </c>
      <c r="AO41" s="167" t="s">
        <v>243</v>
      </c>
      <c r="AP41" s="167"/>
      <c r="AQ41" s="167"/>
      <c r="AR41" s="167"/>
      <c r="AS41" s="167"/>
      <c r="AT41" s="167" t="s">
        <v>268</v>
      </c>
      <c r="AU41" s="167" t="s">
        <v>272</v>
      </c>
      <c r="AV41" s="167"/>
      <c r="AW41" s="167"/>
      <c r="AX41" s="167"/>
      <c r="AY41" s="167"/>
      <c r="AZ41" s="167" t="s">
        <v>243</v>
      </c>
      <c r="BA41" s="167" t="s">
        <v>243</v>
      </c>
      <c r="BB41" s="167" t="s">
        <v>243</v>
      </c>
      <c r="BC41" s="167" t="s">
        <v>243</v>
      </c>
      <c r="BD41" s="167" t="s">
        <v>377</v>
      </c>
      <c r="BE41" s="167" t="s">
        <v>377</v>
      </c>
      <c r="BF41" s="167" t="s">
        <v>377</v>
      </c>
      <c r="BG41" s="167" t="s">
        <v>377</v>
      </c>
      <c r="BH41" s="167" t="s">
        <v>377</v>
      </c>
      <c r="BI41" s="167" t="s">
        <v>377</v>
      </c>
      <c r="BJ41" s="33" cm="1">
        <f t="array" ref="BJ41">SUMPRODUCT(COUNTIF(F41:BI41, {"C","SM"}))</f>
        <v>0</v>
      </c>
      <c r="BK41" s="33">
        <f t="shared" si="15"/>
        <v>0</v>
      </c>
      <c r="BL41" s="33">
        <f t="shared" si="11"/>
        <v>0</v>
      </c>
      <c r="BM41" s="33" cm="1">
        <f t="array" ref="BM41">SUMPRODUCT(COUNTIF(F41:BI41, {"AT","PCAT","DO"}))</f>
        <v>0</v>
      </c>
      <c r="BN41" s="34" cm="1">
        <f t="array" ref="BN41">SUMPRODUCT(COUNTIF(F41:BI41, {"GME","DFM","DOFM"}))</f>
        <v>0</v>
      </c>
      <c r="BO41" s="34">
        <f t="shared" si="16"/>
        <v>0</v>
      </c>
      <c r="BP41" s="143">
        <f t="shared" si="17"/>
        <v>0</v>
      </c>
      <c r="BQ41" s="34">
        <f>COUNTIF(F4:BI4, "NAPIERALA")</f>
        <v>0</v>
      </c>
      <c r="BR41" s="34">
        <f>COUNTIF(K3, "Napierala") + COUNTIF(Y3, "Napierala") + COUNTIF(AM3, "Napierala") + COUNTIF(BA3, "Napierala")</f>
        <v>0</v>
      </c>
      <c r="BS41" s="155"/>
      <c r="BT41" s="155"/>
      <c r="BU41" s="155"/>
      <c r="BV41" s="155"/>
      <c r="BW41" s="155"/>
    </row>
    <row r="42" spans="1:75" ht="20" x14ac:dyDescent="0.2">
      <c r="A42" s="21" t="s">
        <v>220</v>
      </c>
      <c r="B42" s="21" t="s">
        <v>220</v>
      </c>
      <c r="C42" s="81" t="s">
        <v>371</v>
      </c>
      <c r="D42" s="26" t="s">
        <v>371</v>
      </c>
      <c r="E42" s="30" t="s">
        <v>587</v>
      </c>
      <c r="F42" s="167"/>
      <c r="G42" s="167"/>
      <c r="H42" s="167"/>
      <c r="I42" s="167"/>
      <c r="J42" s="167" t="s">
        <v>243</v>
      </c>
      <c r="K42" s="167" t="s">
        <v>243</v>
      </c>
      <c r="L42" s="167" t="s">
        <v>243</v>
      </c>
      <c r="M42" s="167" t="s">
        <v>243</v>
      </c>
      <c r="N42" s="167" t="s">
        <v>248</v>
      </c>
      <c r="O42" s="167" t="s">
        <v>249</v>
      </c>
      <c r="P42" s="167"/>
      <c r="Q42" s="167"/>
      <c r="R42" s="167"/>
      <c r="S42" s="167" t="s">
        <v>250</v>
      </c>
      <c r="T42" s="167"/>
      <c r="U42" s="167"/>
      <c r="V42" s="167"/>
      <c r="W42" s="167"/>
      <c r="X42" s="167" t="s">
        <v>243</v>
      </c>
      <c r="Y42" s="167" t="s">
        <v>243</v>
      </c>
      <c r="Z42" s="167" t="s">
        <v>243</v>
      </c>
      <c r="AA42" s="167" t="s">
        <v>243</v>
      </c>
      <c r="AB42" s="167"/>
      <c r="AC42" s="167"/>
      <c r="AD42" s="167"/>
      <c r="AE42" s="167"/>
      <c r="AF42" s="167"/>
      <c r="AG42" s="167" t="s">
        <v>269</v>
      </c>
      <c r="AH42" s="167"/>
      <c r="AI42" s="167"/>
      <c r="AJ42" s="167"/>
      <c r="AK42" s="167"/>
      <c r="AL42" s="167" t="s">
        <v>243</v>
      </c>
      <c r="AM42" s="167" t="s">
        <v>243</v>
      </c>
      <c r="AN42" s="167" t="s">
        <v>243</v>
      </c>
      <c r="AO42" s="167" t="s">
        <v>243</v>
      </c>
      <c r="AP42" s="167"/>
      <c r="AQ42" s="167"/>
      <c r="AR42" s="167"/>
      <c r="AS42" s="167"/>
      <c r="AT42" s="167" t="s">
        <v>268</v>
      </c>
      <c r="AU42" s="167" t="s">
        <v>272</v>
      </c>
      <c r="AV42" s="167"/>
      <c r="AW42" s="167"/>
      <c r="AX42" s="167"/>
      <c r="AY42" s="167"/>
      <c r="AZ42" s="167" t="s">
        <v>243</v>
      </c>
      <c r="BA42" s="167" t="s">
        <v>243</v>
      </c>
      <c r="BB42" s="167" t="s">
        <v>243</v>
      </c>
      <c r="BC42" s="167" t="s">
        <v>243</v>
      </c>
      <c r="BD42" s="167" t="s">
        <v>377</v>
      </c>
      <c r="BE42" s="167" t="s">
        <v>377</v>
      </c>
      <c r="BF42" s="167" t="s">
        <v>377</v>
      </c>
      <c r="BG42" s="167" t="s">
        <v>377</v>
      </c>
      <c r="BH42" s="167" t="s">
        <v>377</v>
      </c>
      <c r="BI42" s="167" t="s">
        <v>377</v>
      </c>
      <c r="BJ42" s="33" cm="1">
        <f t="array" ref="BJ42">SUMPRODUCT(COUNTIF(F42:BI42, {"C","SM"}))</f>
        <v>0</v>
      </c>
      <c r="BK42" s="33">
        <f t="shared" si="15"/>
        <v>0</v>
      </c>
      <c r="BL42" s="33">
        <f t="shared" si="11"/>
        <v>0</v>
      </c>
      <c r="BM42" s="33" cm="1">
        <f t="array" ref="BM42">SUMPRODUCT(COUNTIF(F42:BI42, {"AT","PCAT","DO"}))</f>
        <v>0</v>
      </c>
      <c r="BN42" s="34" cm="1">
        <f t="array" ref="BN42">SUMPRODUCT(COUNTIF(F42:BI42, {"GME","DFM","DOFM"}))</f>
        <v>0</v>
      </c>
      <c r="BO42" s="166">
        <f t="shared" si="16"/>
        <v>0</v>
      </c>
      <c r="BP42" s="143">
        <f t="shared" si="17"/>
        <v>0</v>
      </c>
      <c r="BQ42" s="166">
        <f>COUNTIF(F4:BI4, "VAN BRUNT")</f>
        <v>0</v>
      </c>
      <c r="BR42" s="166">
        <f>COUNTIF(K3, "Van Brunt") + COUNTIF(Y3, "Van Brunt") + COUNTIF(AM3, "Van Brunt") + COUNTIF(BA3, "Van Brunt")</f>
        <v>0</v>
      </c>
      <c r="BS42" s="155"/>
      <c r="BT42" s="155"/>
      <c r="BU42" s="155"/>
      <c r="BV42" s="155"/>
      <c r="BW42" s="155"/>
    </row>
    <row r="43" spans="1:75" ht="20" x14ac:dyDescent="0.2">
      <c r="A43" s="21" t="s">
        <v>220</v>
      </c>
      <c r="B43" s="21" t="s">
        <v>220</v>
      </c>
      <c r="C43" s="81" t="s">
        <v>368</v>
      </c>
      <c r="D43" s="26" t="s">
        <v>314</v>
      </c>
      <c r="E43" s="30" t="s">
        <v>393</v>
      </c>
      <c r="F43" s="167"/>
      <c r="G43" s="167"/>
      <c r="H43" s="167"/>
      <c r="I43" s="167"/>
      <c r="J43" s="167" t="s">
        <v>243</v>
      </c>
      <c r="K43" s="167" t="s">
        <v>243</v>
      </c>
      <c r="L43" s="167" t="s">
        <v>243</v>
      </c>
      <c r="M43" s="167" t="s">
        <v>243</v>
      </c>
      <c r="N43" s="167" t="s">
        <v>248</v>
      </c>
      <c r="O43" s="167" t="s">
        <v>249</v>
      </c>
      <c r="P43" s="167"/>
      <c r="Q43" s="167"/>
      <c r="R43" s="167"/>
      <c r="S43" s="167" t="s">
        <v>250</v>
      </c>
      <c r="T43" s="167"/>
      <c r="U43" s="167"/>
      <c r="V43" s="167"/>
      <c r="W43" s="167"/>
      <c r="X43" s="167" t="s">
        <v>243</v>
      </c>
      <c r="Y43" s="167" t="s">
        <v>243</v>
      </c>
      <c r="Z43" s="167" t="s">
        <v>243</v>
      </c>
      <c r="AA43" s="167" t="s">
        <v>243</v>
      </c>
      <c r="AB43" s="167"/>
      <c r="AC43" s="167"/>
      <c r="AD43" s="167"/>
      <c r="AE43" s="167"/>
      <c r="AF43" s="167"/>
      <c r="AG43" s="167" t="s">
        <v>269</v>
      </c>
      <c r="AH43" s="167"/>
      <c r="AI43" s="167"/>
      <c r="AJ43" s="167"/>
      <c r="AK43" s="167"/>
      <c r="AL43" s="167" t="s">
        <v>243</v>
      </c>
      <c r="AM43" s="167" t="s">
        <v>243</v>
      </c>
      <c r="AN43" s="167" t="s">
        <v>243</v>
      </c>
      <c r="AO43" s="167" t="s">
        <v>243</v>
      </c>
      <c r="AP43" s="167"/>
      <c r="AQ43" s="167"/>
      <c r="AR43" s="167"/>
      <c r="AS43" s="167"/>
      <c r="AT43" s="167" t="s">
        <v>268</v>
      </c>
      <c r="AU43" s="167" t="s">
        <v>272</v>
      </c>
      <c r="AV43" s="167"/>
      <c r="AW43" s="167"/>
      <c r="AX43" s="167"/>
      <c r="AY43" s="167"/>
      <c r="AZ43" s="167" t="s">
        <v>243</v>
      </c>
      <c r="BA43" s="167" t="s">
        <v>243</v>
      </c>
      <c r="BB43" s="167" t="s">
        <v>243</v>
      </c>
      <c r="BC43" s="167" t="s">
        <v>243</v>
      </c>
      <c r="BD43" s="167" t="s">
        <v>377</v>
      </c>
      <c r="BE43" s="167" t="s">
        <v>377</v>
      </c>
      <c r="BF43" s="167" t="s">
        <v>377</v>
      </c>
      <c r="BG43" s="167" t="s">
        <v>377</v>
      </c>
      <c r="BH43" s="167" t="s">
        <v>377</v>
      </c>
      <c r="BI43" s="167" t="s">
        <v>377</v>
      </c>
      <c r="BJ43" s="145">
        <f t="shared" ref="BJ43:BR43" si="18">SUM(BJ31:BJ42)</f>
        <v>37</v>
      </c>
      <c r="BK43" s="145">
        <f t="shared" si="18"/>
        <v>37</v>
      </c>
      <c r="BL43" s="145">
        <f t="shared" si="18"/>
        <v>74</v>
      </c>
      <c r="BM43" s="145">
        <f t="shared" si="18"/>
        <v>79</v>
      </c>
      <c r="BN43" s="145">
        <f t="shared" si="18"/>
        <v>95</v>
      </c>
      <c r="BO43" s="145">
        <f t="shared" si="18"/>
        <v>30</v>
      </c>
      <c r="BP43" s="145">
        <f t="shared" si="18"/>
        <v>56</v>
      </c>
      <c r="BQ43" s="145">
        <f t="shared" si="18"/>
        <v>0</v>
      </c>
      <c r="BR43" s="145">
        <f t="shared" si="18"/>
        <v>0</v>
      </c>
      <c r="BS43" s="155"/>
      <c r="BT43" s="155"/>
      <c r="BU43" s="155"/>
      <c r="BV43" s="155"/>
      <c r="BW43" s="155"/>
    </row>
    <row r="44" spans="1:75" ht="20" x14ac:dyDescent="0.2">
      <c r="A44" s="21" t="s">
        <v>220</v>
      </c>
      <c r="B44" s="21" t="s">
        <v>220</v>
      </c>
      <c r="C44" s="81" t="s">
        <v>260</v>
      </c>
      <c r="D44" s="26" t="s">
        <v>347</v>
      </c>
      <c r="E44" s="30" t="s">
        <v>588</v>
      </c>
      <c r="F44" s="167"/>
      <c r="G44" s="167"/>
      <c r="H44" s="167"/>
      <c r="I44" s="167"/>
      <c r="J44" s="167" t="s">
        <v>243</v>
      </c>
      <c r="K44" s="167" t="s">
        <v>243</v>
      </c>
      <c r="L44" s="167" t="s">
        <v>243</v>
      </c>
      <c r="M44" s="167" t="s">
        <v>243</v>
      </c>
      <c r="N44" s="167" t="s">
        <v>248</v>
      </c>
      <c r="O44" s="167" t="s">
        <v>249</v>
      </c>
      <c r="P44" s="167"/>
      <c r="Q44" s="167"/>
      <c r="R44" s="167"/>
      <c r="S44" s="167" t="s">
        <v>250</v>
      </c>
      <c r="T44" s="167"/>
      <c r="U44" s="167"/>
      <c r="V44" s="167"/>
      <c r="W44" s="167"/>
      <c r="X44" s="167" t="s">
        <v>243</v>
      </c>
      <c r="Y44" s="167" t="s">
        <v>243</v>
      </c>
      <c r="Z44" s="167" t="s">
        <v>243</v>
      </c>
      <c r="AA44" s="167" t="s">
        <v>243</v>
      </c>
      <c r="AB44" s="167"/>
      <c r="AC44" s="167"/>
      <c r="AD44" s="167"/>
      <c r="AE44" s="167"/>
      <c r="AF44" s="167"/>
      <c r="AG44" s="167" t="s">
        <v>269</v>
      </c>
      <c r="AH44" s="167"/>
      <c r="AI44" s="167"/>
      <c r="AJ44" s="167"/>
      <c r="AK44" s="167"/>
      <c r="AL44" s="167" t="s">
        <v>243</v>
      </c>
      <c r="AM44" s="167" t="s">
        <v>243</v>
      </c>
      <c r="AN44" s="167" t="s">
        <v>243</v>
      </c>
      <c r="AO44" s="167" t="s">
        <v>243</v>
      </c>
      <c r="AP44" s="167"/>
      <c r="AQ44" s="167"/>
      <c r="AR44" s="167"/>
      <c r="AS44" s="167"/>
      <c r="AT44" s="167" t="s">
        <v>268</v>
      </c>
      <c r="AU44" s="167" t="s">
        <v>272</v>
      </c>
      <c r="AV44" s="167"/>
      <c r="AW44" s="167"/>
      <c r="AX44" s="167"/>
      <c r="AY44" s="167"/>
      <c r="AZ44" s="167" t="s">
        <v>243</v>
      </c>
      <c r="BA44" s="167" t="s">
        <v>243</v>
      </c>
      <c r="BB44" s="167" t="s">
        <v>243</v>
      </c>
      <c r="BC44" s="167" t="s">
        <v>243</v>
      </c>
      <c r="BD44" s="167"/>
      <c r="BE44" s="167"/>
      <c r="BF44" s="167"/>
      <c r="BG44" s="167"/>
      <c r="BH44" s="167" t="s">
        <v>250</v>
      </c>
      <c r="BI44" s="167" t="s">
        <v>251</v>
      </c>
      <c r="BJ44" s="155" t="s">
        <v>372</v>
      </c>
      <c r="BK44" s="155">
        <f>BK43/(BJ43+BK43)*100</f>
        <v>50</v>
      </c>
      <c r="BL44" s="155"/>
      <c r="BM44" s="155"/>
      <c r="BN44" s="155"/>
      <c r="BO44" s="155"/>
      <c r="BP44" s="155"/>
      <c r="BQ44" s="155"/>
      <c r="BR44" s="155"/>
      <c r="BS44" s="155"/>
      <c r="BT44" s="155"/>
      <c r="BU44" s="155"/>
      <c r="BV44" s="152"/>
      <c r="BW44" s="152"/>
    </row>
    <row r="45" spans="1:75" ht="20" x14ac:dyDescent="0.2">
      <c r="A45" s="21" t="s">
        <v>220</v>
      </c>
      <c r="B45" s="21" t="s">
        <v>220</v>
      </c>
      <c r="C45" s="81" t="s">
        <v>260</v>
      </c>
      <c r="D45" s="26" t="s">
        <v>387</v>
      </c>
      <c r="E45" s="27" t="s">
        <v>589</v>
      </c>
      <c r="F45" s="167"/>
      <c r="G45" s="167"/>
      <c r="H45" s="167"/>
      <c r="I45" s="167"/>
      <c r="J45" s="167" t="s">
        <v>243</v>
      </c>
      <c r="K45" s="167" t="s">
        <v>243</v>
      </c>
      <c r="L45" s="167" t="s">
        <v>243</v>
      </c>
      <c r="M45" s="167" t="s">
        <v>243</v>
      </c>
      <c r="N45" s="167" t="s">
        <v>248</v>
      </c>
      <c r="O45" s="167" t="s">
        <v>249</v>
      </c>
      <c r="P45" s="167"/>
      <c r="Q45" s="167"/>
      <c r="R45" s="167"/>
      <c r="S45" s="167" t="s">
        <v>250</v>
      </c>
      <c r="T45" s="167"/>
      <c r="U45" s="167"/>
      <c r="V45" s="167"/>
      <c r="W45" s="167"/>
      <c r="X45" s="167" t="s">
        <v>243</v>
      </c>
      <c r="Y45" s="167" t="s">
        <v>243</v>
      </c>
      <c r="Z45" s="167" t="s">
        <v>243</v>
      </c>
      <c r="AA45" s="167" t="s">
        <v>243</v>
      </c>
      <c r="AB45" s="167"/>
      <c r="AC45" s="167"/>
      <c r="AD45" s="167"/>
      <c r="AE45" s="167"/>
      <c r="AF45" s="167"/>
      <c r="AG45" s="167" t="s">
        <v>269</v>
      </c>
      <c r="AH45" s="167"/>
      <c r="AI45" s="167"/>
      <c r="AJ45" s="167"/>
      <c r="AK45" s="167"/>
      <c r="AL45" s="167" t="s">
        <v>243</v>
      </c>
      <c r="AM45" s="167" t="s">
        <v>243</v>
      </c>
      <c r="AN45" s="167" t="s">
        <v>243</v>
      </c>
      <c r="AO45" s="167" t="s">
        <v>243</v>
      </c>
      <c r="AP45" s="167"/>
      <c r="AQ45" s="167"/>
      <c r="AR45" s="167"/>
      <c r="AS45" s="167"/>
      <c r="AT45" s="167" t="s">
        <v>268</v>
      </c>
      <c r="AU45" s="167" t="s">
        <v>272</v>
      </c>
      <c r="AV45" s="167"/>
      <c r="AW45" s="167"/>
      <c r="AX45" s="167"/>
      <c r="AY45" s="167"/>
      <c r="AZ45" s="167" t="s">
        <v>243</v>
      </c>
      <c r="BA45" s="167" t="s">
        <v>243</v>
      </c>
      <c r="BB45" s="167" t="s">
        <v>243</v>
      </c>
      <c r="BC45" s="167" t="s">
        <v>243</v>
      </c>
      <c r="BD45" s="167"/>
      <c r="BE45" s="167"/>
      <c r="BF45" s="167"/>
      <c r="BG45" s="167"/>
      <c r="BH45" s="167" t="s">
        <v>250</v>
      </c>
      <c r="BI45" s="167" t="s">
        <v>251</v>
      </c>
      <c r="BJ45" s="155" t="s">
        <v>373</v>
      </c>
      <c r="BK45" s="155">
        <f>(BK43+BK29)/(BJ43+BK43+BK29+BJ29)*100</f>
        <v>25.142857142857146</v>
      </c>
      <c r="BL45" s="155"/>
      <c r="BV45" s="152"/>
      <c r="BW45" s="152"/>
    </row>
    <row r="46" spans="1:75" ht="20" x14ac:dyDescent="0.2">
      <c r="A46" s="21" t="s">
        <v>220</v>
      </c>
      <c r="B46" s="21" t="s">
        <v>220</v>
      </c>
      <c r="C46" s="81" t="s">
        <v>260</v>
      </c>
      <c r="D46" s="26" t="s">
        <v>261</v>
      </c>
      <c r="E46" s="27"/>
      <c r="F46" s="167"/>
      <c r="G46" s="167"/>
      <c r="H46" s="167"/>
      <c r="I46" s="167"/>
      <c r="J46" s="167" t="s">
        <v>243</v>
      </c>
      <c r="K46" s="167" t="s">
        <v>243</v>
      </c>
      <c r="L46" s="167" t="s">
        <v>243</v>
      </c>
      <c r="M46" s="167" t="s">
        <v>243</v>
      </c>
      <c r="N46" s="167" t="s">
        <v>248</v>
      </c>
      <c r="O46" s="167" t="s">
        <v>249</v>
      </c>
      <c r="P46" s="167"/>
      <c r="Q46" s="167"/>
      <c r="R46" s="167"/>
      <c r="S46" s="167" t="s">
        <v>250</v>
      </c>
      <c r="T46" s="167"/>
      <c r="U46" s="167"/>
      <c r="V46" s="167"/>
      <c r="W46" s="167"/>
      <c r="X46" s="167" t="s">
        <v>243</v>
      </c>
      <c r="Y46" s="167" t="s">
        <v>243</v>
      </c>
      <c r="Z46" s="167" t="s">
        <v>243</v>
      </c>
      <c r="AA46" s="167" t="s">
        <v>243</v>
      </c>
      <c r="AB46" s="167"/>
      <c r="AC46" s="167"/>
      <c r="AD46" s="167"/>
      <c r="AE46" s="167"/>
      <c r="AF46" s="167"/>
      <c r="AG46" s="167" t="s">
        <v>269</v>
      </c>
      <c r="AH46" s="167"/>
      <c r="AI46" s="167"/>
      <c r="AJ46" s="167"/>
      <c r="AK46" s="167"/>
      <c r="AL46" s="167" t="s">
        <v>243</v>
      </c>
      <c r="AM46" s="167" t="s">
        <v>243</v>
      </c>
      <c r="AN46" s="167" t="s">
        <v>243</v>
      </c>
      <c r="AO46" s="167" t="s">
        <v>243</v>
      </c>
      <c r="AP46" s="167"/>
      <c r="AQ46" s="167"/>
      <c r="AR46" s="167"/>
      <c r="AS46" s="167"/>
      <c r="AT46" s="167" t="s">
        <v>268</v>
      </c>
      <c r="AU46" s="167" t="s">
        <v>272</v>
      </c>
      <c r="AV46" s="167"/>
      <c r="AW46" s="167"/>
      <c r="AX46" s="167"/>
      <c r="AY46" s="167"/>
      <c r="AZ46" s="167" t="s">
        <v>243</v>
      </c>
      <c r="BA46" s="167" t="s">
        <v>243</v>
      </c>
      <c r="BB46" s="167" t="s">
        <v>243</v>
      </c>
      <c r="BC46" s="167" t="s">
        <v>243</v>
      </c>
      <c r="BD46" s="167"/>
      <c r="BE46" s="167"/>
      <c r="BF46" s="167"/>
      <c r="BG46" s="167"/>
      <c r="BH46" s="167" t="s">
        <v>250</v>
      </c>
      <c r="BI46" s="167" t="s">
        <v>251</v>
      </c>
      <c r="BJ46" s="155"/>
      <c r="BK46" s="155"/>
      <c r="BL46" s="155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</row>
    <row r="47" spans="1:75" ht="20" x14ac:dyDescent="0.2">
      <c r="A47" s="21" t="s">
        <v>220</v>
      </c>
      <c r="B47" s="21" t="s">
        <v>220</v>
      </c>
      <c r="C47" s="81" t="s">
        <v>260</v>
      </c>
      <c r="D47" s="26" t="s">
        <v>261</v>
      </c>
      <c r="E47" s="30"/>
      <c r="F47" s="167"/>
      <c r="G47" s="167"/>
      <c r="H47" s="167"/>
      <c r="I47" s="167"/>
      <c r="J47" s="167" t="s">
        <v>243</v>
      </c>
      <c r="K47" s="167" t="s">
        <v>243</v>
      </c>
      <c r="L47" s="167" t="s">
        <v>243</v>
      </c>
      <c r="M47" s="167" t="s">
        <v>243</v>
      </c>
      <c r="N47" s="167" t="s">
        <v>248</v>
      </c>
      <c r="O47" s="167" t="s">
        <v>249</v>
      </c>
      <c r="P47" s="167"/>
      <c r="Q47" s="167"/>
      <c r="R47" s="167"/>
      <c r="S47" s="167" t="s">
        <v>250</v>
      </c>
      <c r="T47" s="167"/>
      <c r="U47" s="167"/>
      <c r="V47" s="167"/>
      <c r="W47" s="167"/>
      <c r="X47" s="167" t="s">
        <v>243</v>
      </c>
      <c r="Y47" s="167" t="s">
        <v>243</v>
      </c>
      <c r="Z47" s="167" t="s">
        <v>243</v>
      </c>
      <c r="AA47" s="167" t="s">
        <v>243</v>
      </c>
      <c r="AB47" s="167"/>
      <c r="AC47" s="167"/>
      <c r="AD47" s="167"/>
      <c r="AE47" s="167"/>
      <c r="AF47" s="167"/>
      <c r="AG47" s="167" t="s">
        <v>269</v>
      </c>
      <c r="AH47" s="167"/>
      <c r="AI47" s="167"/>
      <c r="AJ47" s="167"/>
      <c r="AK47" s="167"/>
      <c r="AL47" s="167" t="s">
        <v>243</v>
      </c>
      <c r="AM47" s="167" t="s">
        <v>243</v>
      </c>
      <c r="AN47" s="167" t="s">
        <v>243</v>
      </c>
      <c r="AO47" s="167" t="s">
        <v>243</v>
      </c>
      <c r="AP47" s="167"/>
      <c r="AQ47" s="167"/>
      <c r="AR47" s="167"/>
      <c r="AS47" s="167"/>
      <c r="AT47" s="167" t="s">
        <v>268</v>
      </c>
      <c r="AU47" s="167" t="s">
        <v>272</v>
      </c>
      <c r="AV47" s="167"/>
      <c r="AW47" s="167"/>
      <c r="AX47" s="167"/>
      <c r="AY47" s="167"/>
      <c r="AZ47" s="167" t="s">
        <v>243</v>
      </c>
      <c r="BA47" s="167" t="s">
        <v>243</v>
      </c>
      <c r="BB47" s="167" t="s">
        <v>243</v>
      </c>
      <c r="BC47" s="167" t="s">
        <v>243</v>
      </c>
      <c r="BD47" s="167"/>
      <c r="BE47" s="167"/>
      <c r="BF47" s="167"/>
      <c r="BG47" s="167"/>
      <c r="BH47" s="167" t="s">
        <v>250</v>
      </c>
      <c r="BI47" s="167" t="s">
        <v>251</v>
      </c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</row>
    <row r="48" spans="1:75" ht="20" x14ac:dyDescent="0.2">
      <c r="A48" s="21" t="s">
        <v>220</v>
      </c>
      <c r="B48" s="21" t="s">
        <v>220</v>
      </c>
      <c r="C48" s="21" t="s">
        <v>220</v>
      </c>
      <c r="D48" s="22" t="s">
        <v>220</v>
      </c>
      <c r="E48" s="21" t="s">
        <v>220</v>
      </c>
      <c r="F48" s="167" t="s">
        <v>220</v>
      </c>
      <c r="G48" s="167" t="s">
        <v>220</v>
      </c>
      <c r="H48" s="167" t="s">
        <v>220</v>
      </c>
      <c r="I48" s="167" t="s">
        <v>220</v>
      </c>
      <c r="J48" s="167" t="s">
        <v>243</v>
      </c>
      <c r="K48" s="167" t="s">
        <v>243</v>
      </c>
      <c r="L48" s="167" t="s">
        <v>243</v>
      </c>
      <c r="M48" s="167" t="s">
        <v>243</v>
      </c>
      <c r="N48" s="167" t="s">
        <v>248</v>
      </c>
      <c r="O48" s="167" t="s">
        <v>249</v>
      </c>
      <c r="P48" s="167" t="s">
        <v>220</v>
      </c>
      <c r="Q48" s="167" t="s">
        <v>220</v>
      </c>
      <c r="R48" s="167" t="s">
        <v>220</v>
      </c>
      <c r="S48" s="167" t="s">
        <v>220</v>
      </c>
      <c r="T48" s="167" t="s">
        <v>220</v>
      </c>
      <c r="U48" s="167" t="s">
        <v>220</v>
      </c>
      <c r="V48" s="167" t="s">
        <v>220</v>
      </c>
      <c r="W48" s="167" t="s">
        <v>220</v>
      </c>
      <c r="X48" s="167" t="s">
        <v>243</v>
      </c>
      <c r="Y48" s="167" t="s">
        <v>243</v>
      </c>
      <c r="Z48" s="167" t="s">
        <v>243</v>
      </c>
      <c r="AA48" s="167" t="s">
        <v>243</v>
      </c>
      <c r="AB48" s="167" t="s">
        <v>220</v>
      </c>
      <c r="AC48" s="167" t="s">
        <v>220</v>
      </c>
      <c r="AD48" s="167" t="s">
        <v>220</v>
      </c>
      <c r="AE48" s="167" t="s">
        <v>220</v>
      </c>
      <c r="AF48" s="167"/>
      <c r="AG48" s="167" t="s">
        <v>269</v>
      </c>
      <c r="AH48" s="167" t="s">
        <v>220</v>
      </c>
      <c r="AI48" s="167" t="s">
        <v>220</v>
      </c>
      <c r="AJ48" s="167" t="s">
        <v>220</v>
      </c>
      <c r="AK48" s="167" t="s">
        <v>220</v>
      </c>
      <c r="AL48" s="167" t="s">
        <v>220</v>
      </c>
      <c r="AM48" s="167" t="s">
        <v>220</v>
      </c>
      <c r="AN48" s="167" t="s">
        <v>220</v>
      </c>
      <c r="AO48" s="167" t="s">
        <v>220</v>
      </c>
      <c r="AP48" s="167" t="s">
        <v>220</v>
      </c>
      <c r="AQ48" s="167" t="s">
        <v>220</v>
      </c>
      <c r="AR48" s="167" t="s">
        <v>220</v>
      </c>
      <c r="AS48" s="167" t="s">
        <v>220</v>
      </c>
      <c r="AT48" s="167" t="s">
        <v>268</v>
      </c>
      <c r="AU48" s="167" t="s">
        <v>272</v>
      </c>
      <c r="AV48" s="167" t="s">
        <v>220</v>
      </c>
      <c r="AW48" s="167" t="s">
        <v>220</v>
      </c>
      <c r="AX48" s="167" t="s">
        <v>220</v>
      </c>
      <c r="AY48" s="167" t="s">
        <v>220</v>
      </c>
      <c r="AZ48" s="167" t="s">
        <v>243</v>
      </c>
      <c r="BA48" s="167" t="s">
        <v>243</v>
      </c>
      <c r="BB48" s="167" t="s">
        <v>243</v>
      </c>
      <c r="BC48" s="167" t="s">
        <v>243</v>
      </c>
      <c r="BD48" s="167" t="s">
        <v>220</v>
      </c>
      <c r="BE48" s="167" t="s">
        <v>220</v>
      </c>
      <c r="BF48" s="167" t="s">
        <v>220</v>
      </c>
      <c r="BG48" s="167" t="s">
        <v>220</v>
      </c>
      <c r="BH48" s="167" t="s">
        <v>250</v>
      </c>
      <c r="BI48" s="167" t="s">
        <v>251</v>
      </c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</row>
    <row r="49" spans="1:75" ht="20" x14ac:dyDescent="0.2">
      <c r="A49" s="21" t="s">
        <v>220</v>
      </c>
      <c r="B49" s="21" t="s">
        <v>220</v>
      </c>
      <c r="C49" s="32" t="s">
        <v>266</v>
      </c>
      <c r="D49" s="30" t="s">
        <v>267</v>
      </c>
      <c r="E49" s="7"/>
      <c r="F49" s="167"/>
      <c r="G49" s="167"/>
      <c r="H49" s="167"/>
      <c r="I49" s="167"/>
      <c r="J49" s="167" t="s">
        <v>243</v>
      </c>
      <c r="K49" s="167" t="s">
        <v>243</v>
      </c>
      <c r="L49" s="167" t="s">
        <v>243</v>
      </c>
      <c r="M49" s="167" t="s">
        <v>243</v>
      </c>
      <c r="N49" s="167" t="s">
        <v>248</v>
      </c>
      <c r="O49" s="167" t="s">
        <v>249</v>
      </c>
      <c r="P49" s="167"/>
      <c r="Q49" s="167"/>
      <c r="R49" s="167"/>
      <c r="S49" s="167" t="s">
        <v>250</v>
      </c>
      <c r="T49" s="167"/>
      <c r="U49" s="167"/>
      <c r="V49" s="167"/>
      <c r="W49" s="167"/>
      <c r="X49" s="167" t="s">
        <v>243</v>
      </c>
      <c r="Y49" s="167" t="s">
        <v>243</v>
      </c>
      <c r="Z49" s="167" t="s">
        <v>243</v>
      </c>
      <c r="AA49" s="167" t="s">
        <v>243</v>
      </c>
      <c r="AB49" s="167"/>
      <c r="AC49" s="167"/>
      <c r="AD49" s="167"/>
      <c r="AE49" s="167"/>
      <c r="AF49" s="167"/>
      <c r="AG49" s="167" t="s">
        <v>269</v>
      </c>
      <c r="AH49" s="167"/>
      <c r="AI49" s="167"/>
      <c r="AJ49" s="167"/>
      <c r="AK49" s="167"/>
      <c r="AL49" s="167" t="s">
        <v>243</v>
      </c>
      <c r="AM49" s="167" t="s">
        <v>243</v>
      </c>
      <c r="AN49" s="167" t="s">
        <v>243</v>
      </c>
      <c r="AO49" s="167" t="s">
        <v>243</v>
      </c>
      <c r="AP49" s="167"/>
      <c r="AQ49" s="167"/>
      <c r="AR49" s="167"/>
      <c r="AS49" s="167"/>
      <c r="AT49" s="167" t="s">
        <v>268</v>
      </c>
      <c r="AU49" s="167" t="s">
        <v>272</v>
      </c>
      <c r="AV49" s="167"/>
      <c r="AW49" s="167"/>
      <c r="AX49" s="167"/>
      <c r="AY49" s="167"/>
      <c r="AZ49" s="167" t="s">
        <v>243</v>
      </c>
      <c r="BA49" s="167" t="s">
        <v>243</v>
      </c>
      <c r="BB49" s="167" t="s">
        <v>243</v>
      </c>
      <c r="BC49" s="167" t="s">
        <v>243</v>
      </c>
      <c r="BD49" s="167"/>
      <c r="BE49" s="167"/>
      <c r="BF49" s="167"/>
      <c r="BG49" s="167"/>
      <c r="BH49" s="167" t="s">
        <v>250</v>
      </c>
      <c r="BI49" s="167" t="s">
        <v>251</v>
      </c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</row>
    <row r="50" spans="1:75" ht="20" x14ac:dyDescent="0.2">
      <c r="A50" s="21" t="s">
        <v>220</v>
      </c>
      <c r="B50" s="21" t="s">
        <v>220</v>
      </c>
      <c r="C50" s="32" t="s">
        <v>164</v>
      </c>
      <c r="D50" s="30" t="s">
        <v>270</v>
      </c>
      <c r="E50" s="7"/>
      <c r="F50" s="167"/>
      <c r="G50" s="167"/>
      <c r="H50" s="167"/>
      <c r="I50" s="167"/>
      <c r="J50" s="167" t="s">
        <v>243</v>
      </c>
      <c r="K50" s="167" t="s">
        <v>243</v>
      </c>
      <c r="L50" s="167" t="s">
        <v>243</v>
      </c>
      <c r="M50" s="167" t="s">
        <v>243</v>
      </c>
      <c r="N50" s="167" t="s">
        <v>248</v>
      </c>
      <c r="O50" s="167" t="s">
        <v>249</v>
      </c>
      <c r="P50" s="167"/>
      <c r="Q50" s="167"/>
      <c r="R50" s="167"/>
      <c r="S50" s="167" t="s">
        <v>250</v>
      </c>
      <c r="T50" s="167"/>
      <c r="U50" s="167"/>
      <c r="V50" s="167"/>
      <c r="W50" s="167"/>
      <c r="X50" s="167" t="s">
        <v>243</v>
      </c>
      <c r="Y50" s="167" t="s">
        <v>243</v>
      </c>
      <c r="Z50" s="167" t="s">
        <v>243</v>
      </c>
      <c r="AA50" s="167" t="s">
        <v>243</v>
      </c>
      <c r="AB50" s="167"/>
      <c r="AC50" s="167"/>
      <c r="AD50" s="167"/>
      <c r="AE50" s="167"/>
      <c r="AF50" s="167"/>
      <c r="AG50" s="167" t="s">
        <v>269</v>
      </c>
      <c r="AH50" s="167"/>
      <c r="AI50" s="167"/>
      <c r="AJ50" s="167"/>
      <c r="AK50" s="167"/>
      <c r="AL50" s="167" t="s">
        <v>243</v>
      </c>
      <c r="AM50" s="167" t="s">
        <v>243</v>
      </c>
      <c r="AN50" s="167" t="s">
        <v>243</v>
      </c>
      <c r="AO50" s="167" t="s">
        <v>243</v>
      </c>
      <c r="AP50" s="167"/>
      <c r="AQ50" s="167"/>
      <c r="AR50" s="167"/>
      <c r="AS50" s="167"/>
      <c r="AT50" s="167" t="s">
        <v>268</v>
      </c>
      <c r="AU50" s="167" t="s">
        <v>272</v>
      </c>
      <c r="AV50" s="167"/>
      <c r="AW50" s="167"/>
      <c r="AX50" s="167"/>
      <c r="AY50" s="167"/>
      <c r="AZ50" s="167" t="s">
        <v>243</v>
      </c>
      <c r="BA50" s="167" t="s">
        <v>243</v>
      </c>
      <c r="BB50" s="167" t="s">
        <v>243</v>
      </c>
      <c r="BC50" s="167" t="s">
        <v>243</v>
      </c>
      <c r="BD50" s="167"/>
      <c r="BE50" s="167"/>
      <c r="BF50" s="167"/>
      <c r="BG50" s="167"/>
      <c r="BH50" s="167" t="s">
        <v>250</v>
      </c>
      <c r="BI50" s="167" t="s">
        <v>251</v>
      </c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</row>
    <row r="51" spans="1:75" ht="20" x14ac:dyDescent="0.2">
      <c r="A51" s="21" t="s">
        <v>220</v>
      </c>
      <c r="B51" s="21" t="s">
        <v>220</v>
      </c>
      <c r="C51" s="32" t="s">
        <v>220</v>
      </c>
      <c r="D51" s="30" t="s">
        <v>271</v>
      </c>
      <c r="E51" s="7"/>
      <c r="F51" s="167"/>
      <c r="G51" s="167"/>
      <c r="H51" s="167"/>
      <c r="I51" s="167"/>
      <c r="J51" s="167" t="s">
        <v>243</v>
      </c>
      <c r="K51" s="167" t="s">
        <v>243</v>
      </c>
      <c r="L51" s="167" t="s">
        <v>243</v>
      </c>
      <c r="M51" s="167" t="s">
        <v>243</v>
      </c>
      <c r="N51" s="167" t="s">
        <v>248</v>
      </c>
      <c r="O51" s="167" t="s">
        <v>249</v>
      </c>
      <c r="P51" s="167"/>
      <c r="Q51" s="167"/>
      <c r="R51" s="167"/>
      <c r="S51" s="167" t="s">
        <v>250</v>
      </c>
      <c r="T51" s="167"/>
      <c r="U51" s="167"/>
      <c r="V51" s="167"/>
      <c r="W51" s="167"/>
      <c r="X51" s="167" t="s">
        <v>243</v>
      </c>
      <c r="Y51" s="167" t="s">
        <v>243</v>
      </c>
      <c r="Z51" s="167" t="s">
        <v>243</v>
      </c>
      <c r="AA51" s="167" t="s">
        <v>243</v>
      </c>
      <c r="AB51" s="167"/>
      <c r="AC51" s="167"/>
      <c r="AD51" s="167"/>
      <c r="AE51" s="167"/>
      <c r="AF51" s="167"/>
      <c r="AG51" s="167" t="s">
        <v>269</v>
      </c>
      <c r="AH51" s="167"/>
      <c r="AI51" s="167"/>
      <c r="AJ51" s="167"/>
      <c r="AK51" s="167"/>
      <c r="AL51" s="167" t="s">
        <v>243</v>
      </c>
      <c r="AM51" s="167" t="s">
        <v>243</v>
      </c>
      <c r="AN51" s="167" t="s">
        <v>243</v>
      </c>
      <c r="AO51" s="167" t="s">
        <v>243</v>
      </c>
      <c r="AP51" s="167"/>
      <c r="AQ51" s="167"/>
      <c r="AR51" s="167"/>
      <c r="AS51" s="167"/>
      <c r="AT51" s="167" t="s">
        <v>268</v>
      </c>
      <c r="AU51" s="167" t="s">
        <v>272</v>
      </c>
      <c r="AV51" s="167"/>
      <c r="AW51" s="167"/>
      <c r="AX51" s="167"/>
      <c r="AY51" s="167"/>
      <c r="AZ51" s="167" t="s">
        <v>243</v>
      </c>
      <c r="BA51" s="167" t="s">
        <v>243</v>
      </c>
      <c r="BB51" s="167" t="s">
        <v>243</v>
      </c>
      <c r="BC51" s="167" t="s">
        <v>243</v>
      </c>
      <c r="BD51" s="167"/>
      <c r="BE51" s="167"/>
      <c r="BF51" s="167"/>
      <c r="BG51" s="167"/>
      <c r="BH51" s="167" t="s">
        <v>250</v>
      </c>
      <c r="BI51" s="167" t="s">
        <v>251</v>
      </c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</row>
    <row r="52" spans="1:75" ht="20" x14ac:dyDescent="0.2">
      <c r="A52" s="21" t="s">
        <v>220</v>
      </c>
      <c r="B52" s="21" t="s">
        <v>220</v>
      </c>
      <c r="C52" s="30" t="s">
        <v>266</v>
      </c>
      <c r="D52" s="7" t="s">
        <v>81</v>
      </c>
      <c r="E52" s="7"/>
      <c r="F52" s="167"/>
      <c r="G52" s="167"/>
      <c r="H52" s="167"/>
      <c r="I52" s="167"/>
      <c r="J52" s="167" t="s">
        <v>243</v>
      </c>
      <c r="K52" s="167" t="s">
        <v>243</v>
      </c>
      <c r="L52" s="167" t="s">
        <v>243</v>
      </c>
      <c r="M52" s="167" t="s">
        <v>243</v>
      </c>
      <c r="N52" s="167" t="s">
        <v>248</v>
      </c>
      <c r="O52" s="167" t="s">
        <v>249</v>
      </c>
      <c r="P52" s="167"/>
      <c r="Q52" s="167"/>
      <c r="R52" s="167"/>
      <c r="S52" s="167" t="s">
        <v>250</v>
      </c>
      <c r="T52" s="167"/>
      <c r="U52" s="167"/>
      <c r="V52" s="167"/>
      <c r="W52" s="167"/>
      <c r="X52" s="167" t="s">
        <v>243</v>
      </c>
      <c r="Y52" s="167" t="s">
        <v>243</v>
      </c>
      <c r="Z52" s="167" t="s">
        <v>243</v>
      </c>
      <c r="AA52" s="167" t="s">
        <v>243</v>
      </c>
      <c r="AB52" s="167"/>
      <c r="AC52" s="167"/>
      <c r="AD52" s="167"/>
      <c r="AE52" s="167"/>
      <c r="AF52" s="167"/>
      <c r="AG52" s="167" t="s">
        <v>269</v>
      </c>
      <c r="AH52" s="167"/>
      <c r="AI52" s="167"/>
      <c r="AJ52" s="167"/>
      <c r="AK52" s="167"/>
      <c r="AL52" s="167" t="s">
        <v>243</v>
      </c>
      <c r="AM52" s="167" t="s">
        <v>243</v>
      </c>
      <c r="AN52" s="167" t="s">
        <v>243</v>
      </c>
      <c r="AO52" s="167" t="s">
        <v>243</v>
      </c>
      <c r="AP52" s="167"/>
      <c r="AQ52" s="167"/>
      <c r="AR52" s="167"/>
      <c r="AS52" s="167"/>
      <c r="AT52" s="167" t="s">
        <v>268</v>
      </c>
      <c r="AU52" s="167" t="s">
        <v>272</v>
      </c>
      <c r="AV52" s="167"/>
      <c r="AW52" s="167"/>
      <c r="AX52" s="167"/>
      <c r="AY52" s="167"/>
      <c r="AZ52" s="167" t="s">
        <v>243</v>
      </c>
      <c r="BA52" s="167" t="s">
        <v>243</v>
      </c>
      <c r="BB52" s="167" t="s">
        <v>243</v>
      </c>
      <c r="BC52" s="167" t="s">
        <v>243</v>
      </c>
      <c r="BD52" s="167"/>
      <c r="BE52" s="167"/>
      <c r="BF52" s="167"/>
      <c r="BG52" s="167"/>
      <c r="BH52" s="167" t="s">
        <v>250</v>
      </c>
      <c r="BI52" s="167" t="s">
        <v>251</v>
      </c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</row>
    <row r="53" spans="1:75" ht="20" x14ac:dyDescent="0.2">
      <c r="A53" s="21" t="s">
        <v>220</v>
      </c>
      <c r="B53" s="21" t="s">
        <v>220</v>
      </c>
      <c r="C53" s="30" t="s">
        <v>81</v>
      </c>
      <c r="D53" s="7" t="s">
        <v>220</v>
      </c>
      <c r="E53" s="7" t="s">
        <v>220</v>
      </c>
      <c r="F53" s="167"/>
      <c r="G53" s="167"/>
      <c r="H53" s="167"/>
      <c r="I53" s="167"/>
      <c r="J53" s="167" t="s">
        <v>243</v>
      </c>
      <c r="K53" s="167" t="s">
        <v>243</v>
      </c>
      <c r="L53" s="167" t="s">
        <v>243</v>
      </c>
      <c r="M53" s="167" t="s">
        <v>243</v>
      </c>
      <c r="N53" s="167" t="s">
        <v>248</v>
      </c>
      <c r="O53" s="167" t="s">
        <v>249</v>
      </c>
      <c r="P53" s="167"/>
      <c r="Q53" s="167"/>
      <c r="R53" s="167"/>
      <c r="S53" s="167" t="s">
        <v>250</v>
      </c>
      <c r="T53" s="167"/>
      <c r="U53" s="167"/>
      <c r="V53" s="167"/>
      <c r="W53" s="167"/>
      <c r="X53" s="167" t="s">
        <v>243</v>
      </c>
      <c r="Y53" s="167" t="s">
        <v>243</v>
      </c>
      <c r="Z53" s="167" t="s">
        <v>243</v>
      </c>
      <c r="AA53" s="167" t="s">
        <v>243</v>
      </c>
      <c r="AB53" s="167"/>
      <c r="AC53" s="167"/>
      <c r="AD53" s="167"/>
      <c r="AE53" s="167"/>
      <c r="AF53" s="167"/>
      <c r="AG53" s="167" t="s">
        <v>269</v>
      </c>
      <c r="AH53" s="167"/>
      <c r="AI53" s="167"/>
      <c r="AJ53" s="167"/>
      <c r="AK53" s="167"/>
      <c r="AL53" s="167" t="s">
        <v>243</v>
      </c>
      <c r="AM53" s="167" t="s">
        <v>243</v>
      </c>
      <c r="AN53" s="167" t="s">
        <v>243</v>
      </c>
      <c r="AO53" s="167" t="s">
        <v>243</v>
      </c>
      <c r="AP53" s="167"/>
      <c r="AQ53" s="167"/>
      <c r="AR53" s="167"/>
      <c r="AS53" s="167"/>
      <c r="AT53" s="167" t="s">
        <v>268</v>
      </c>
      <c r="AU53" s="167" t="s">
        <v>272</v>
      </c>
      <c r="AV53" s="167"/>
      <c r="AW53" s="167"/>
      <c r="AX53" s="167"/>
      <c r="AY53" s="167"/>
      <c r="AZ53" s="167" t="s">
        <v>243</v>
      </c>
      <c r="BA53" s="167" t="s">
        <v>243</v>
      </c>
      <c r="BB53" s="167" t="s">
        <v>243</v>
      </c>
      <c r="BC53" s="167" t="s">
        <v>243</v>
      </c>
      <c r="BD53" s="167"/>
      <c r="BE53" s="167"/>
      <c r="BF53" s="167"/>
      <c r="BG53" s="167"/>
      <c r="BH53" s="167" t="s">
        <v>250</v>
      </c>
      <c r="BI53" s="167" t="s">
        <v>251</v>
      </c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</row>
    <row r="54" spans="1:75" ht="20" x14ac:dyDescent="0.2">
      <c r="A54" s="21" t="s">
        <v>220</v>
      </c>
      <c r="B54" s="21" t="s">
        <v>220</v>
      </c>
      <c r="C54" s="21" t="s">
        <v>220</v>
      </c>
      <c r="D54" s="22" t="s">
        <v>220</v>
      </c>
      <c r="E54" s="21" t="s">
        <v>220</v>
      </c>
      <c r="F54" s="167" t="s">
        <v>220</v>
      </c>
      <c r="G54" s="167" t="s">
        <v>220</v>
      </c>
      <c r="H54" s="167" t="s">
        <v>220</v>
      </c>
      <c r="I54" s="167" t="s">
        <v>220</v>
      </c>
      <c r="J54" s="167" t="s">
        <v>243</v>
      </c>
      <c r="K54" s="167" t="s">
        <v>243</v>
      </c>
      <c r="L54" s="167" t="s">
        <v>243</v>
      </c>
      <c r="M54" s="167" t="s">
        <v>243</v>
      </c>
      <c r="N54" s="167" t="s">
        <v>248</v>
      </c>
      <c r="O54" s="167" t="s">
        <v>249</v>
      </c>
      <c r="P54" s="167" t="s">
        <v>220</v>
      </c>
      <c r="Q54" s="167" t="s">
        <v>220</v>
      </c>
      <c r="R54" s="167" t="s">
        <v>220</v>
      </c>
      <c r="S54" s="167" t="s">
        <v>220</v>
      </c>
      <c r="T54" s="167" t="s">
        <v>220</v>
      </c>
      <c r="U54" s="167" t="s">
        <v>220</v>
      </c>
      <c r="V54" s="167" t="s">
        <v>220</v>
      </c>
      <c r="W54" s="167" t="s">
        <v>220</v>
      </c>
      <c r="X54" s="167" t="s">
        <v>243</v>
      </c>
      <c r="Y54" s="167" t="s">
        <v>243</v>
      </c>
      <c r="Z54" s="167" t="s">
        <v>243</v>
      </c>
      <c r="AA54" s="167" t="s">
        <v>243</v>
      </c>
      <c r="AB54" s="167" t="s">
        <v>220</v>
      </c>
      <c r="AC54" s="167" t="s">
        <v>220</v>
      </c>
      <c r="AD54" s="167" t="s">
        <v>220</v>
      </c>
      <c r="AE54" s="167" t="s">
        <v>220</v>
      </c>
      <c r="AF54" s="167"/>
      <c r="AG54" s="167" t="s">
        <v>269</v>
      </c>
      <c r="AH54" s="167" t="s">
        <v>220</v>
      </c>
      <c r="AI54" s="167" t="s">
        <v>220</v>
      </c>
      <c r="AJ54" s="167" t="s">
        <v>220</v>
      </c>
      <c r="AK54" s="167" t="s">
        <v>220</v>
      </c>
      <c r="AL54" s="167" t="s">
        <v>220</v>
      </c>
      <c r="AM54" s="167" t="s">
        <v>220</v>
      </c>
      <c r="AN54" s="167" t="s">
        <v>220</v>
      </c>
      <c r="AO54" s="167" t="s">
        <v>220</v>
      </c>
      <c r="AP54" s="167" t="s">
        <v>220</v>
      </c>
      <c r="AQ54" s="167" t="s">
        <v>220</v>
      </c>
      <c r="AR54" s="167" t="s">
        <v>220</v>
      </c>
      <c r="AS54" s="167" t="s">
        <v>220</v>
      </c>
      <c r="AT54" s="167" t="s">
        <v>268</v>
      </c>
      <c r="AU54" s="167" t="s">
        <v>272</v>
      </c>
      <c r="AV54" s="167" t="s">
        <v>220</v>
      </c>
      <c r="AW54" s="167" t="s">
        <v>220</v>
      </c>
      <c r="AX54" s="167" t="s">
        <v>220</v>
      </c>
      <c r="AY54" s="167" t="s">
        <v>220</v>
      </c>
      <c r="AZ54" s="167" t="s">
        <v>220</v>
      </c>
      <c r="BA54" s="167" t="s">
        <v>220</v>
      </c>
      <c r="BB54" s="167" t="s">
        <v>220</v>
      </c>
      <c r="BC54" s="167" t="s">
        <v>220</v>
      </c>
      <c r="BD54" s="167" t="s">
        <v>220</v>
      </c>
      <c r="BE54" s="167" t="s">
        <v>220</v>
      </c>
      <c r="BF54" s="167" t="s">
        <v>220</v>
      </c>
      <c r="BG54" s="167" t="s">
        <v>220</v>
      </c>
      <c r="BH54" s="167" t="s">
        <v>250</v>
      </c>
      <c r="BI54" s="167" t="s">
        <v>220</v>
      </c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</row>
    <row r="55" spans="1:75" ht="20" x14ac:dyDescent="0.2">
      <c r="A55" s="21" t="s">
        <v>220</v>
      </c>
      <c r="B55" s="21" t="s">
        <v>220</v>
      </c>
      <c r="C55" s="30" t="s">
        <v>279</v>
      </c>
      <c r="D55" s="7" t="s">
        <v>280</v>
      </c>
      <c r="E55" s="7" t="s">
        <v>220</v>
      </c>
      <c r="F55" s="167"/>
      <c r="G55" s="167"/>
      <c r="H55" s="167"/>
      <c r="I55" s="167"/>
      <c r="J55" s="167" t="s">
        <v>243</v>
      </c>
      <c r="K55" s="167" t="s">
        <v>243</v>
      </c>
      <c r="L55" s="167" t="s">
        <v>243</v>
      </c>
      <c r="M55" s="167" t="s">
        <v>243</v>
      </c>
      <c r="N55" s="167" t="s">
        <v>249</v>
      </c>
      <c r="O55" s="167" t="s">
        <v>249</v>
      </c>
      <c r="P55" s="167"/>
      <c r="Q55" s="167"/>
      <c r="R55" s="167" t="s">
        <v>268</v>
      </c>
      <c r="S55" s="167" t="s">
        <v>250</v>
      </c>
      <c r="T55" s="167"/>
      <c r="U55" s="167"/>
      <c r="V55" s="167"/>
      <c r="W55" s="167"/>
      <c r="X55" s="167" t="s">
        <v>243</v>
      </c>
      <c r="Y55" s="167" t="s">
        <v>243</v>
      </c>
      <c r="Z55" s="167" t="s">
        <v>243</v>
      </c>
      <c r="AA55" s="167" t="s">
        <v>243</v>
      </c>
      <c r="AB55" s="167"/>
      <c r="AC55" s="167"/>
      <c r="AD55" s="167"/>
      <c r="AE55" s="167"/>
      <c r="AF55" s="167"/>
      <c r="AG55" s="167" t="s">
        <v>269</v>
      </c>
      <c r="AH55" s="167"/>
      <c r="AI55" s="167"/>
      <c r="AJ55" s="167"/>
      <c r="AK55" s="167"/>
      <c r="AL55" s="167" t="s">
        <v>243</v>
      </c>
      <c r="AM55" s="167" t="s">
        <v>243</v>
      </c>
      <c r="AN55" s="167" t="s">
        <v>243</v>
      </c>
      <c r="AO55" s="167" t="s">
        <v>243</v>
      </c>
      <c r="AP55" s="167"/>
      <c r="AQ55" s="167"/>
      <c r="AR55" s="167"/>
      <c r="AS55" s="167"/>
      <c r="AT55" s="167" t="s">
        <v>268</v>
      </c>
      <c r="AU55" s="167" t="s">
        <v>272</v>
      </c>
      <c r="AV55" s="167"/>
      <c r="AW55" s="167"/>
      <c r="AX55" s="167"/>
      <c r="AY55" s="167"/>
      <c r="AZ55" s="167" t="s">
        <v>243</v>
      </c>
      <c r="BA55" s="167" t="s">
        <v>243</v>
      </c>
      <c r="BB55" s="167" t="s">
        <v>243</v>
      </c>
      <c r="BC55" s="167" t="s">
        <v>243</v>
      </c>
      <c r="BD55" s="167"/>
      <c r="BE55" s="167"/>
      <c r="BF55" s="167"/>
      <c r="BG55" s="167"/>
      <c r="BH55" s="167" t="s">
        <v>250</v>
      </c>
      <c r="BI55" s="167" t="s">
        <v>284</v>
      </c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</row>
    <row r="56" spans="1:75" ht="20" x14ac:dyDescent="0.2">
      <c r="A56" s="21" t="s">
        <v>220</v>
      </c>
      <c r="B56" s="21" t="s">
        <v>220</v>
      </c>
      <c r="C56" s="30" t="s">
        <v>279</v>
      </c>
      <c r="D56" s="7" t="s">
        <v>280</v>
      </c>
      <c r="E56" s="7" t="s">
        <v>220</v>
      </c>
      <c r="F56" s="167"/>
      <c r="G56" s="167"/>
      <c r="H56" s="167"/>
      <c r="I56" s="167"/>
      <c r="J56" s="167" t="s">
        <v>243</v>
      </c>
      <c r="K56" s="167" t="s">
        <v>243</v>
      </c>
      <c r="L56" s="167" t="s">
        <v>243</v>
      </c>
      <c r="M56" s="167" t="s">
        <v>243</v>
      </c>
      <c r="N56" s="167" t="s">
        <v>249</v>
      </c>
      <c r="O56" s="167" t="s">
        <v>249</v>
      </c>
      <c r="P56" s="167"/>
      <c r="Q56" s="167"/>
      <c r="R56" s="167" t="s">
        <v>268</v>
      </c>
      <c r="S56" s="167" t="s">
        <v>250</v>
      </c>
      <c r="T56" s="167"/>
      <c r="U56" s="167"/>
      <c r="V56" s="167"/>
      <c r="W56" s="167"/>
      <c r="X56" s="167" t="s">
        <v>243</v>
      </c>
      <c r="Y56" s="167" t="s">
        <v>243</v>
      </c>
      <c r="Z56" s="167" t="s">
        <v>243</v>
      </c>
      <c r="AA56" s="167" t="s">
        <v>243</v>
      </c>
      <c r="AB56" s="167"/>
      <c r="AC56" s="167"/>
      <c r="AD56" s="167"/>
      <c r="AE56" s="167"/>
      <c r="AF56" s="167"/>
      <c r="AG56" s="167" t="s">
        <v>269</v>
      </c>
      <c r="AH56" s="167"/>
      <c r="AI56" s="167"/>
      <c r="AJ56" s="167"/>
      <c r="AK56" s="167"/>
      <c r="AL56" s="167" t="s">
        <v>243</v>
      </c>
      <c r="AM56" s="167" t="s">
        <v>243</v>
      </c>
      <c r="AN56" s="167" t="s">
        <v>243</v>
      </c>
      <c r="AO56" s="167" t="s">
        <v>243</v>
      </c>
      <c r="AP56" s="167"/>
      <c r="AQ56" s="167"/>
      <c r="AR56" s="167"/>
      <c r="AS56" s="167"/>
      <c r="AT56" s="167" t="s">
        <v>268</v>
      </c>
      <c r="AU56" s="167" t="s">
        <v>272</v>
      </c>
      <c r="AV56" s="167"/>
      <c r="AW56" s="167"/>
      <c r="AX56" s="167"/>
      <c r="AY56" s="167"/>
      <c r="AZ56" s="167" t="s">
        <v>243</v>
      </c>
      <c r="BA56" s="167" t="s">
        <v>243</v>
      </c>
      <c r="BB56" s="167" t="s">
        <v>243</v>
      </c>
      <c r="BC56" s="167" t="s">
        <v>243</v>
      </c>
      <c r="BD56" s="167"/>
      <c r="BE56" s="167"/>
      <c r="BF56" s="167"/>
      <c r="BG56" s="167"/>
      <c r="BH56" s="167" t="s">
        <v>250</v>
      </c>
      <c r="BI56" s="167" t="s">
        <v>284</v>
      </c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</row>
    <row r="57" spans="1:75" ht="20" x14ac:dyDescent="0.2">
      <c r="A57" s="21" t="s">
        <v>220</v>
      </c>
      <c r="B57" s="21" t="s">
        <v>220</v>
      </c>
      <c r="C57" s="30" t="s">
        <v>281</v>
      </c>
      <c r="D57" s="7" t="s">
        <v>281</v>
      </c>
      <c r="E57" s="7"/>
      <c r="F57" s="167"/>
      <c r="G57" s="167"/>
      <c r="H57" s="167"/>
      <c r="I57" s="167"/>
      <c r="J57" s="167" t="s">
        <v>243</v>
      </c>
      <c r="K57" s="167" t="s">
        <v>243</v>
      </c>
      <c r="L57" s="167" t="s">
        <v>243</v>
      </c>
      <c r="M57" s="167" t="s">
        <v>243</v>
      </c>
      <c r="N57" s="167" t="s">
        <v>249</v>
      </c>
      <c r="O57" s="167" t="s">
        <v>249</v>
      </c>
      <c r="P57" s="167"/>
      <c r="Q57" s="167"/>
      <c r="R57" s="167" t="s">
        <v>268</v>
      </c>
      <c r="S57" s="167" t="s">
        <v>250</v>
      </c>
      <c r="T57" s="167"/>
      <c r="U57" s="167"/>
      <c r="V57" s="167"/>
      <c r="W57" s="167"/>
      <c r="X57" s="167" t="s">
        <v>243</v>
      </c>
      <c r="Y57" s="167" t="s">
        <v>243</v>
      </c>
      <c r="Z57" s="167" t="s">
        <v>243</v>
      </c>
      <c r="AA57" s="167" t="s">
        <v>243</v>
      </c>
      <c r="AB57" s="167"/>
      <c r="AC57" s="167"/>
      <c r="AD57" s="167"/>
      <c r="AE57" s="167"/>
      <c r="AF57" s="167"/>
      <c r="AG57" s="167" t="s">
        <v>269</v>
      </c>
      <c r="AH57" s="167"/>
      <c r="AI57" s="167"/>
      <c r="AJ57" s="167"/>
      <c r="AK57" s="167"/>
      <c r="AL57" s="167" t="s">
        <v>243</v>
      </c>
      <c r="AM57" s="167" t="s">
        <v>243</v>
      </c>
      <c r="AN57" s="167" t="s">
        <v>243</v>
      </c>
      <c r="AO57" s="167" t="s">
        <v>243</v>
      </c>
      <c r="AP57" s="167"/>
      <c r="AQ57" s="167"/>
      <c r="AR57" s="167"/>
      <c r="AS57" s="167"/>
      <c r="AT57" s="167" t="s">
        <v>268</v>
      </c>
      <c r="AU57" s="167" t="s">
        <v>272</v>
      </c>
      <c r="AV57" s="167"/>
      <c r="AW57" s="167"/>
      <c r="AX57" s="167"/>
      <c r="AY57" s="167"/>
      <c r="AZ57" s="167" t="s">
        <v>243</v>
      </c>
      <c r="BA57" s="167" t="s">
        <v>243</v>
      </c>
      <c r="BB57" s="167" t="s">
        <v>243</v>
      </c>
      <c r="BC57" s="167" t="s">
        <v>243</v>
      </c>
      <c r="BD57" s="167"/>
      <c r="BE57" s="167"/>
      <c r="BF57" s="167"/>
      <c r="BG57" s="167"/>
      <c r="BH57" s="167" t="s">
        <v>250</v>
      </c>
      <c r="BI57" s="167" t="s">
        <v>284</v>
      </c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</row>
    <row r="58" spans="1:75" ht="20" x14ac:dyDescent="0.2">
      <c r="A58" s="21" t="s">
        <v>220</v>
      </c>
      <c r="B58" s="21" t="s">
        <v>220</v>
      </c>
      <c r="C58" s="30" t="s">
        <v>220</v>
      </c>
      <c r="D58" s="7" t="s">
        <v>283</v>
      </c>
      <c r="E58" s="7" t="s">
        <v>220</v>
      </c>
      <c r="F58" s="167"/>
      <c r="G58" s="167"/>
      <c r="H58" s="167"/>
      <c r="I58" s="167"/>
      <c r="J58" s="167" t="s">
        <v>243</v>
      </c>
      <c r="K58" s="167" t="s">
        <v>243</v>
      </c>
      <c r="L58" s="167" t="s">
        <v>243</v>
      </c>
      <c r="M58" s="167" t="s">
        <v>243</v>
      </c>
      <c r="N58" s="167" t="s">
        <v>249</v>
      </c>
      <c r="O58" s="167" t="s">
        <v>249</v>
      </c>
      <c r="P58" s="167"/>
      <c r="Q58" s="167"/>
      <c r="R58" s="167" t="s">
        <v>268</v>
      </c>
      <c r="S58" s="167" t="s">
        <v>250</v>
      </c>
      <c r="T58" s="167"/>
      <c r="U58" s="167"/>
      <c r="V58" s="167"/>
      <c r="W58" s="167"/>
      <c r="X58" s="167" t="s">
        <v>243</v>
      </c>
      <c r="Y58" s="167" t="s">
        <v>243</v>
      </c>
      <c r="Z58" s="167" t="s">
        <v>243</v>
      </c>
      <c r="AA58" s="167" t="s">
        <v>243</v>
      </c>
      <c r="AB58" s="167"/>
      <c r="AC58" s="167"/>
      <c r="AD58" s="167"/>
      <c r="AE58" s="167"/>
      <c r="AF58" s="167"/>
      <c r="AG58" s="167" t="s">
        <v>269</v>
      </c>
      <c r="AH58" s="167"/>
      <c r="AI58" s="167"/>
      <c r="AJ58" s="167"/>
      <c r="AK58" s="167"/>
      <c r="AL58" s="167" t="s">
        <v>243</v>
      </c>
      <c r="AM58" s="167" t="s">
        <v>243</v>
      </c>
      <c r="AN58" s="167" t="s">
        <v>243</v>
      </c>
      <c r="AO58" s="167" t="s">
        <v>243</v>
      </c>
      <c r="AP58" s="167"/>
      <c r="AQ58" s="167"/>
      <c r="AR58" s="167"/>
      <c r="AS58" s="167"/>
      <c r="AT58" s="167" t="s">
        <v>268</v>
      </c>
      <c r="AU58" s="167" t="s">
        <v>272</v>
      </c>
      <c r="AV58" s="167"/>
      <c r="AW58" s="167"/>
      <c r="AX58" s="167"/>
      <c r="AY58" s="167"/>
      <c r="AZ58" s="167" t="s">
        <v>243</v>
      </c>
      <c r="BA58" s="167" t="s">
        <v>243</v>
      </c>
      <c r="BB58" s="167" t="s">
        <v>243</v>
      </c>
      <c r="BC58" s="167" t="s">
        <v>243</v>
      </c>
      <c r="BD58" s="167"/>
      <c r="BE58" s="167"/>
      <c r="BF58" s="167"/>
      <c r="BG58" s="167"/>
      <c r="BH58" s="167" t="s">
        <v>250</v>
      </c>
      <c r="BI58" s="167" t="s">
        <v>284</v>
      </c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</row>
    <row r="59" spans="1:75" ht="20" x14ac:dyDescent="0.2">
      <c r="A59" s="21" t="s">
        <v>220</v>
      </c>
      <c r="B59" s="21" t="s">
        <v>220</v>
      </c>
      <c r="C59" s="30" t="s">
        <v>220</v>
      </c>
      <c r="D59" s="7" t="s">
        <v>283</v>
      </c>
      <c r="E59" s="7" t="s">
        <v>220</v>
      </c>
      <c r="F59" s="167"/>
      <c r="G59" s="167"/>
      <c r="H59" s="167"/>
      <c r="I59" s="167"/>
      <c r="J59" s="167" t="s">
        <v>243</v>
      </c>
      <c r="K59" s="167" t="s">
        <v>243</v>
      </c>
      <c r="L59" s="167" t="s">
        <v>243</v>
      </c>
      <c r="M59" s="167" t="s">
        <v>243</v>
      </c>
      <c r="N59" s="167" t="s">
        <v>249</v>
      </c>
      <c r="O59" s="167" t="s">
        <v>249</v>
      </c>
      <c r="P59" s="167"/>
      <c r="Q59" s="167"/>
      <c r="R59" s="167" t="s">
        <v>268</v>
      </c>
      <c r="S59" s="167" t="s">
        <v>250</v>
      </c>
      <c r="T59" s="167"/>
      <c r="U59" s="167"/>
      <c r="V59" s="167"/>
      <c r="W59" s="167"/>
      <c r="X59" s="167" t="s">
        <v>243</v>
      </c>
      <c r="Y59" s="167" t="s">
        <v>243</v>
      </c>
      <c r="Z59" s="167" t="s">
        <v>243</v>
      </c>
      <c r="AA59" s="167" t="s">
        <v>243</v>
      </c>
      <c r="AB59" s="167"/>
      <c r="AC59" s="167"/>
      <c r="AD59" s="167"/>
      <c r="AE59" s="167"/>
      <c r="AF59" s="167"/>
      <c r="AG59" s="167" t="s">
        <v>269</v>
      </c>
      <c r="AH59" s="167"/>
      <c r="AI59" s="167"/>
      <c r="AJ59" s="167"/>
      <c r="AK59" s="167"/>
      <c r="AL59" s="167" t="s">
        <v>243</v>
      </c>
      <c r="AM59" s="167" t="s">
        <v>243</v>
      </c>
      <c r="AN59" s="167" t="s">
        <v>243</v>
      </c>
      <c r="AO59" s="167" t="s">
        <v>243</v>
      </c>
      <c r="AP59" s="167"/>
      <c r="AQ59" s="167"/>
      <c r="AR59" s="167"/>
      <c r="AS59" s="167"/>
      <c r="AT59" s="167" t="s">
        <v>268</v>
      </c>
      <c r="AU59" s="167" t="s">
        <v>272</v>
      </c>
      <c r="AV59" s="167"/>
      <c r="AW59" s="167"/>
      <c r="AX59" s="167"/>
      <c r="AY59" s="167"/>
      <c r="AZ59" s="167" t="s">
        <v>243</v>
      </c>
      <c r="BA59" s="167" t="s">
        <v>243</v>
      </c>
      <c r="BB59" s="167" t="s">
        <v>243</v>
      </c>
      <c r="BC59" s="167" t="s">
        <v>243</v>
      </c>
      <c r="BD59" s="167"/>
      <c r="BE59" s="167"/>
      <c r="BF59" s="167"/>
      <c r="BG59" s="167"/>
      <c r="BH59" s="167" t="s">
        <v>250</v>
      </c>
      <c r="BI59" s="167" t="s">
        <v>284</v>
      </c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</row>
    <row r="60" spans="1:75" ht="20" x14ac:dyDescent="0.2">
      <c r="A60" s="21" t="s">
        <v>220</v>
      </c>
      <c r="B60" s="21" t="s">
        <v>220</v>
      </c>
      <c r="C60" s="30" t="s">
        <v>220</v>
      </c>
      <c r="D60" s="7" t="s">
        <v>283</v>
      </c>
      <c r="E60" s="7" t="s">
        <v>220</v>
      </c>
      <c r="F60" s="167"/>
      <c r="G60" s="167"/>
      <c r="H60" s="167"/>
      <c r="I60" s="167"/>
      <c r="J60" s="167" t="s">
        <v>243</v>
      </c>
      <c r="K60" s="167" t="s">
        <v>243</v>
      </c>
      <c r="L60" s="167" t="s">
        <v>243</v>
      </c>
      <c r="M60" s="167" t="s">
        <v>243</v>
      </c>
      <c r="N60" s="167" t="s">
        <v>249</v>
      </c>
      <c r="O60" s="167" t="s">
        <v>249</v>
      </c>
      <c r="P60" s="167"/>
      <c r="Q60" s="167"/>
      <c r="R60" s="167" t="s">
        <v>268</v>
      </c>
      <c r="S60" s="167" t="s">
        <v>250</v>
      </c>
      <c r="T60" s="167"/>
      <c r="U60" s="167"/>
      <c r="V60" s="167"/>
      <c r="W60" s="167"/>
      <c r="X60" s="167" t="s">
        <v>243</v>
      </c>
      <c r="Y60" s="167" t="s">
        <v>243</v>
      </c>
      <c r="Z60" s="167" t="s">
        <v>243</v>
      </c>
      <c r="AA60" s="167" t="s">
        <v>243</v>
      </c>
      <c r="AB60" s="167"/>
      <c r="AC60" s="167"/>
      <c r="AD60" s="167"/>
      <c r="AE60" s="167"/>
      <c r="AF60" s="167"/>
      <c r="AG60" s="167" t="s">
        <v>269</v>
      </c>
      <c r="AH60" s="167"/>
      <c r="AI60" s="167"/>
      <c r="AJ60" s="167"/>
      <c r="AK60" s="167"/>
      <c r="AL60" s="167" t="s">
        <v>243</v>
      </c>
      <c r="AM60" s="167" t="s">
        <v>243</v>
      </c>
      <c r="AN60" s="167" t="s">
        <v>243</v>
      </c>
      <c r="AO60" s="167" t="s">
        <v>243</v>
      </c>
      <c r="AP60" s="167"/>
      <c r="AQ60" s="167"/>
      <c r="AR60" s="167"/>
      <c r="AS60" s="167"/>
      <c r="AT60" s="167" t="s">
        <v>268</v>
      </c>
      <c r="AU60" s="167" t="s">
        <v>272</v>
      </c>
      <c r="AV60" s="167"/>
      <c r="AW60" s="167"/>
      <c r="AX60" s="167"/>
      <c r="AY60" s="167"/>
      <c r="AZ60" s="167" t="s">
        <v>243</v>
      </c>
      <c r="BA60" s="167" t="s">
        <v>243</v>
      </c>
      <c r="BB60" s="167" t="s">
        <v>243</v>
      </c>
      <c r="BC60" s="167" t="s">
        <v>243</v>
      </c>
      <c r="BD60" s="167"/>
      <c r="BE60" s="167"/>
      <c r="BF60" s="167"/>
      <c r="BG60" s="167"/>
      <c r="BH60" s="167" t="s">
        <v>250</v>
      </c>
      <c r="BI60" s="167" t="s">
        <v>284</v>
      </c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</row>
    <row r="61" spans="1:75" ht="20" x14ac:dyDescent="0.2">
      <c r="A61" s="21" t="s">
        <v>220</v>
      </c>
      <c r="B61" s="21" t="s">
        <v>220</v>
      </c>
      <c r="C61" s="30" t="s">
        <v>220</v>
      </c>
      <c r="D61" s="7" t="s">
        <v>283</v>
      </c>
      <c r="E61" s="7" t="s">
        <v>220</v>
      </c>
      <c r="F61" s="167"/>
      <c r="G61" s="167"/>
      <c r="H61" s="167"/>
      <c r="I61" s="167"/>
      <c r="J61" s="167" t="s">
        <v>243</v>
      </c>
      <c r="K61" s="167" t="s">
        <v>243</v>
      </c>
      <c r="L61" s="167" t="s">
        <v>243</v>
      </c>
      <c r="M61" s="167" t="s">
        <v>243</v>
      </c>
      <c r="N61" s="167" t="s">
        <v>249</v>
      </c>
      <c r="O61" s="167" t="s">
        <v>249</v>
      </c>
      <c r="P61" s="167"/>
      <c r="Q61" s="167"/>
      <c r="R61" s="167" t="s">
        <v>268</v>
      </c>
      <c r="S61" s="167" t="s">
        <v>250</v>
      </c>
      <c r="T61" s="167"/>
      <c r="U61" s="167"/>
      <c r="V61" s="167"/>
      <c r="W61" s="167"/>
      <c r="X61" s="167" t="s">
        <v>243</v>
      </c>
      <c r="Y61" s="167" t="s">
        <v>243</v>
      </c>
      <c r="Z61" s="167" t="s">
        <v>243</v>
      </c>
      <c r="AA61" s="167" t="s">
        <v>243</v>
      </c>
      <c r="AB61" s="167"/>
      <c r="AC61" s="167"/>
      <c r="AD61" s="167"/>
      <c r="AE61" s="167"/>
      <c r="AF61" s="167"/>
      <c r="AG61" s="167" t="s">
        <v>269</v>
      </c>
      <c r="AH61" s="167"/>
      <c r="AI61" s="167"/>
      <c r="AJ61" s="167"/>
      <c r="AK61" s="167"/>
      <c r="AL61" s="167" t="s">
        <v>243</v>
      </c>
      <c r="AM61" s="167" t="s">
        <v>243</v>
      </c>
      <c r="AN61" s="167" t="s">
        <v>243</v>
      </c>
      <c r="AO61" s="167" t="s">
        <v>243</v>
      </c>
      <c r="AP61" s="167"/>
      <c r="AQ61" s="167"/>
      <c r="AR61" s="167"/>
      <c r="AS61" s="167"/>
      <c r="AT61" s="167" t="s">
        <v>268</v>
      </c>
      <c r="AU61" s="167" t="s">
        <v>272</v>
      </c>
      <c r="AV61" s="167"/>
      <c r="AW61" s="167"/>
      <c r="AX61" s="167"/>
      <c r="AY61" s="167"/>
      <c r="AZ61" s="167" t="s">
        <v>243</v>
      </c>
      <c r="BA61" s="167" t="s">
        <v>243</v>
      </c>
      <c r="BB61" s="167" t="s">
        <v>243</v>
      </c>
      <c r="BC61" s="167" t="s">
        <v>243</v>
      </c>
      <c r="BD61" s="167"/>
      <c r="BE61" s="167"/>
      <c r="BF61" s="167"/>
      <c r="BG61" s="167"/>
      <c r="BH61" s="167" t="s">
        <v>250</v>
      </c>
      <c r="BI61" s="167" t="s">
        <v>284</v>
      </c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</row>
    <row r="62" spans="1:75" ht="20" x14ac:dyDescent="0.2">
      <c r="A62" s="21" t="s">
        <v>220</v>
      </c>
      <c r="B62" s="21" t="s">
        <v>220</v>
      </c>
      <c r="C62" s="30" t="s">
        <v>220</v>
      </c>
      <c r="D62" s="7" t="s">
        <v>283</v>
      </c>
      <c r="E62" s="7" t="s">
        <v>220</v>
      </c>
      <c r="F62" s="167"/>
      <c r="G62" s="167"/>
      <c r="H62" s="167"/>
      <c r="I62" s="167"/>
      <c r="J62" s="167" t="s">
        <v>243</v>
      </c>
      <c r="K62" s="167" t="s">
        <v>243</v>
      </c>
      <c r="L62" s="167" t="s">
        <v>243</v>
      </c>
      <c r="M62" s="167" t="s">
        <v>243</v>
      </c>
      <c r="N62" s="167" t="s">
        <v>249</v>
      </c>
      <c r="O62" s="167" t="s">
        <v>249</v>
      </c>
      <c r="P62" s="167"/>
      <c r="Q62" s="167"/>
      <c r="R62" s="167" t="s">
        <v>268</v>
      </c>
      <c r="S62" s="167" t="s">
        <v>250</v>
      </c>
      <c r="T62" s="167"/>
      <c r="U62" s="167"/>
      <c r="V62" s="167"/>
      <c r="W62" s="167"/>
      <c r="X62" s="167" t="s">
        <v>243</v>
      </c>
      <c r="Y62" s="167" t="s">
        <v>243</v>
      </c>
      <c r="Z62" s="167" t="s">
        <v>243</v>
      </c>
      <c r="AA62" s="167" t="s">
        <v>243</v>
      </c>
      <c r="AB62" s="167"/>
      <c r="AC62" s="167"/>
      <c r="AD62" s="167"/>
      <c r="AE62" s="167"/>
      <c r="AF62" s="167"/>
      <c r="AG62" s="167" t="s">
        <v>269</v>
      </c>
      <c r="AH62" s="167"/>
      <c r="AI62" s="167"/>
      <c r="AJ62" s="167"/>
      <c r="AK62" s="167"/>
      <c r="AL62" s="167" t="s">
        <v>243</v>
      </c>
      <c r="AM62" s="167" t="s">
        <v>243</v>
      </c>
      <c r="AN62" s="167" t="s">
        <v>243</v>
      </c>
      <c r="AO62" s="167" t="s">
        <v>243</v>
      </c>
      <c r="AP62" s="167"/>
      <c r="AQ62" s="167"/>
      <c r="AR62" s="167"/>
      <c r="AS62" s="167"/>
      <c r="AT62" s="167" t="s">
        <v>268</v>
      </c>
      <c r="AU62" s="167" t="s">
        <v>272</v>
      </c>
      <c r="AV62" s="167"/>
      <c r="AW62" s="167"/>
      <c r="AX62" s="167"/>
      <c r="AY62" s="167"/>
      <c r="AZ62" s="167" t="s">
        <v>243</v>
      </c>
      <c r="BA62" s="167" t="s">
        <v>243</v>
      </c>
      <c r="BB62" s="167" t="s">
        <v>243</v>
      </c>
      <c r="BC62" s="167" t="s">
        <v>243</v>
      </c>
      <c r="BD62" s="167"/>
      <c r="BE62" s="167"/>
      <c r="BF62" s="167"/>
      <c r="BG62" s="167"/>
      <c r="BH62" s="167" t="s">
        <v>250</v>
      </c>
      <c r="BI62" s="167" t="s">
        <v>284</v>
      </c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</row>
    <row r="63" spans="1:75" ht="20" x14ac:dyDescent="0.2">
      <c r="A63" s="21" t="s">
        <v>220</v>
      </c>
      <c r="B63" s="21" t="s">
        <v>220</v>
      </c>
      <c r="C63" s="30" t="s">
        <v>220</v>
      </c>
      <c r="D63" s="7" t="s">
        <v>283</v>
      </c>
      <c r="E63" s="7" t="s">
        <v>220</v>
      </c>
      <c r="F63" s="167"/>
      <c r="G63" s="167"/>
      <c r="H63" s="167"/>
      <c r="I63" s="167"/>
      <c r="J63" s="167" t="s">
        <v>243</v>
      </c>
      <c r="K63" s="167" t="s">
        <v>243</v>
      </c>
      <c r="L63" s="167" t="s">
        <v>243</v>
      </c>
      <c r="M63" s="167" t="s">
        <v>243</v>
      </c>
      <c r="N63" s="167" t="s">
        <v>249</v>
      </c>
      <c r="O63" s="167" t="s">
        <v>249</v>
      </c>
      <c r="P63" s="167"/>
      <c r="Q63" s="167"/>
      <c r="R63" s="167" t="s">
        <v>268</v>
      </c>
      <c r="S63" s="167" t="s">
        <v>250</v>
      </c>
      <c r="T63" s="167"/>
      <c r="U63" s="167"/>
      <c r="V63" s="167"/>
      <c r="W63" s="167"/>
      <c r="X63" s="167" t="s">
        <v>243</v>
      </c>
      <c r="Y63" s="167" t="s">
        <v>243</v>
      </c>
      <c r="Z63" s="167" t="s">
        <v>243</v>
      </c>
      <c r="AA63" s="167" t="s">
        <v>243</v>
      </c>
      <c r="AB63" s="167"/>
      <c r="AC63" s="167"/>
      <c r="AD63" s="167"/>
      <c r="AE63" s="167"/>
      <c r="AF63" s="167"/>
      <c r="AG63" s="167" t="s">
        <v>269</v>
      </c>
      <c r="AH63" s="167"/>
      <c r="AI63" s="167"/>
      <c r="AJ63" s="167"/>
      <c r="AK63" s="167"/>
      <c r="AL63" s="167" t="s">
        <v>243</v>
      </c>
      <c r="AM63" s="167" t="s">
        <v>243</v>
      </c>
      <c r="AN63" s="167" t="s">
        <v>243</v>
      </c>
      <c r="AO63" s="167" t="s">
        <v>243</v>
      </c>
      <c r="AP63" s="167"/>
      <c r="AQ63" s="167"/>
      <c r="AR63" s="167"/>
      <c r="AS63" s="167"/>
      <c r="AT63" s="167" t="s">
        <v>268</v>
      </c>
      <c r="AU63" s="167" t="s">
        <v>272</v>
      </c>
      <c r="AV63" s="167"/>
      <c r="AW63" s="167"/>
      <c r="AX63" s="167"/>
      <c r="AY63" s="167"/>
      <c r="AZ63" s="167" t="s">
        <v>243</v>
      </c>
      <c r="BA63" s="167" t="s">
        <v>243</v>
      </c>
      <c r="BB63" s="167" t="s">
        <v>243</v>
      </c>
      <c r="BC63" s="167" t="s">
        <v>243</v>
      </c>
      <c r="BD63" s="167"/>
      <c r="BE63" s="167"/>
      <c r="BF63" s="167"/>
      <c r="BG63" s="167"/>
      <c r="BH63" s="167" t="s">
        <v>250</v>
      </c>
      <c r="BI63" s="167" t="s">
        <v>284</v>
      </c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</row>
    <row r="64" spans="1:75" ht="20" x14ac:dyDescent="0.2">
      <c r="A64" s="21" t="s">
        <v>220</v>
      </c>
      <c r="B64" s="21" t="s">
        <v>220</v>
      </c>
      <c r="C64" s="30" t="s">
        <v>220</v>
      </c>
      <c r="D64" s="7" t="s">
        <v>283</v>
      </c>
      <c r="E64" s="7" t="s">
        <v>220</v>
      </c>
      <c r="F64" s="167"/>
      <c r="G64" s="167"/>
      <c r="H64" s="167"/>
      <c r="I64" s="167"/>
      <c r="J64" s="167" t="s">
        <v>243</v>
      </c>
      <c r="K64" s="167" t="s">
        <v>243</v>
      </c>
      <c r="L64" s="167" t="s">
        <v>243</v>
      </c>
      <c r="M64" s="167" t="s">
        <v>243</v>
      </c>
      <c r="N64" s="167" t="s">
        <v>249</v>
      </c>
      <c r="O64" s="167" t="s">
        <v>249</v>
      </c>
      <c r="P64" s="167"/>
      <c r="Q64" s="167"/>
      <c r="R64" s="167" t="s">
        <v>268</v>
      </c>
      <c r="S64" s="167" t="s">
        <v>250</v>
      </c>
      <c r="T64" s="167"/>
      <c r="U64" s="167"/>
      <c r="V64" s="167"/>
      <c r="W64" s="167"/>
      <c r="X64" s="167" t="s">
        <v>243</v>
      </c>
      <c r="Y64" s="167" t="s">
        <v>243</v>
      </c>
      <c r="Z64" s="167" t="s">
        <v>243</v>
      </c>
      <c r="AA64" s="167" t="s">
        <v>243</v>
      </c>
      <c r="AB64" s="167"/>
      <c r="AC64" s="167"/>
      <c r="AD64" s="167"/>
      <c r="AE64" s="167"/>
      <c r="AF64" s="167"/>
      <c r="AG64" s="167" t="s">
        <v>269</v>
      </c>
      <c r="AH64" s="167"/>
      <c r="AI64" s="167"/>
      <c r="AJ64" s="167"/>
      <c r="AK64" s="167"/>
      <c r="AL64" s="167" t="s">
        <v>243</v>
      </c>
      <c r="AM64" s="167" t="s">
        <v>243</v>
      </c>
      <c r="AN64" s="167" t="s">
        <v>243</v>
      </c>
      <c r="AO64" s="167" t="s">
        <v>243</v>
      </c>
      <c r="AP64" s="167"/>
      <c r="AQ64" s="167"/>
      <c r="AR64" s="167"/>
      <c r="AS64" s="167"/>
      <c r="AT64" s="167" t="s">
        <v>268</v>
      </c>
      <c r="AU64" s="167" t="s">
        <v>272</v>
      </c>
      <c r="AV64" s="167"/>
      <c r="AW64" s="167"/>
      <c r="AX64" s="167"/>
      <c r="AY64" s="167"/>
      <c r="AZ64" s="167" t="s">
        <v>243</v>
      </c>
      <c r="BA64" s="167" t="s">
        <v>243</v>
      </c>
      <c r="BB64" s="167" t="s">
        <v>243</v>
      </c>
      <c r="BC64" s="167" t="s">
        <v>243</v>
      </c>
      <c r="BD64" s="167"/>
      <c r="BE64" s="167"/>
      <c r="BF64" s="167"/>
      <c r="BG64" s="167"/>
      <c r="BH64" s="167" t="s">
        <v>250</v>
      </c>
      <c r="BI64" s="167" t="s">
        <v>284</v>
      </c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</row>
    <row r="65" spans="1:75" ht="20" x14ac:dyDescent="0.2">
      <c r="A65" s="21" t="s">
        <v>220</v>
      </c>
      <c r="B65" s="21" t="s">
        <v>220</v>
      </c>
      <c r="C65" s="30" t="s">
        <v>220</v>
      </c>
      <c r="D65" s="7" t="s">
        <v>283</v>
      </c>
      <c r="E65" s="7" t="s">
        <v>220</v>
      </c>
      <c r="F65" s="167"/>
      <c r="G65" s="167"/>
      <c r="H65" s="167"/>
      <c r="I65" s="167"/>
      <c r="J65" s="167" t="s">
        <v>243</v>
      </c>
      <c r="K65" s="167" t="s">
        <v>243</v>
      </c>
      <c r="L65" s="167" t="s">
        <v>243</v>
      </c>
      <c r="M65" s="167" t="s">
        <v>243</v>
      </c>
      <c r="N65" s="167" t="s">
        <v>249</v>
      </c>
      <c r="O65" s="167" t="s">
        <v>249</v>
      </c>
      <c r="P65" s="167"/>
      <c r="Q65" s="167"/>
      <c r="R65" s="167" t="s">
        <v>268</v>
      </c>
      <c r="S65" s="167" t="s">
        <v>250</v>
      </c>
      <c r="T65" s="167"/>
      <c r="U65" s="167"/>
      <c r="V65" s="167"/>
      <c r="W65" s="167"/>
      <c r="X65" s="167" t="s">
        <v>243</v>
      </c>
      <c r="Y65" s="167" t="s">
        <v>243</v>
      </c>
      <c r="Z65" s="167" t="s">
        <v>243</v>
      </c>
      <c r="AA65" s="167" t="s">
        <v>243</v>
      </c>
      <c r="AB65" s="167"/>
      <c r="AC65" s="167"/>
      <c r="AD65" s="167"/>
      <c r="AE65" s="167"/>
      <c r="AF65" s="167"/>
      <c r="AG65" s="167" t="s">
        <v>269</v>
      </c>
      <c r="AH65" s="167"/>
      <c r="AI65" s="167"/>
      <c r="AJ65" s="167"/>
      <c r="AK65" s="167"/>
      <c r="AL65" s="167" t="s">
        <v>243</v>
      </c>
      <c r="AM65" s="167" t="s">
        <v>243</v>
      </c>
      <c r="AN65" s="167" t="s">
        <v>243</v>
      </c>
      <c r="AO65" s="167" t="s">
        <v>243</v>
      </c>
      <c r="AP65" s="167"/>
      <c r="AQ65" s="167"/>
      <c r="AR65" s="167"/>
      <c r="AS65" s="167"/>
      <c r="AT65" s="167" t="s">
        <v>268</v>
      </c>
      <c r="AU65" s="167" t="s">
        <v>272</v>
      </c>
      <c r="AV65" s="167"/>
      <c r="AW65" s="167"/>
      <c r="AX65" s="167"/>
      <c r="AY65" s="167"/>
      <c r="AZ65" s="167" t="s">
        <v>243</v>
      </c>
      <c r="BA65" s="167" t="s">
        <v>243</v>
      </c>
      <c r="BB65" s="167" t="s">
        <v>243</v>
      </c>
      <c r="BC65" s="167" t="s">
        <v>243</v>
      </c>
      <c r="BD65" s="167"/>
      <c r="BE65" s="167"/>
      <c r="BF65" s="167"/>
      <c r="BG65" s="167"/>
      <c r="BH65" s="167" t="s">
        <v>250</v>
      </c>
      <c r="BI65" s="167" t="s">
        <v>284</v>
      </c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</row>
    <row r="66" spans="1:75" ht="20" x14ac:dyDescent="0.2">
      <c r="A66" s="21" t="s">
        <v>220</v>
      </c>
      <c r="B66" s="21" t="s">
        <v>220</v>
      </c>
      <c r="C66" s="21" t="s">
        <v>220</v>
      </c>
      <c r="D66" s="22" t="s">
        <v>220</v>
      </c>
      <c r="E66" s="21" t="s">
        <v>220</v>
      </c>
      <c r="F66" s="167" t="s">
        <v>220</v>
      </c>
      <c r="G66" s="167" t="s">
        <v>220</v>
      </c>
      <c r="H66" s="167" t="s">
        <v>220</v>
      </c>
      <c r="I66" s="167" t="s">
        <v>220</v>
      </c>
      <c r="J66" s="167" t="s">
        <v>220</v>
      </c>
      <c r="K66" s="167" t="s">
        <v>220</v>
      </c>
      <c r="L66" s="167" t="s">
        <v>220</v>
      </c>
      <c r="M66" s="167" t="s">
        <v>220</v>
      </c>
      <c r="N66" s="167" t="s">
        <v>249</v>
      </c>
      <c r="O66" s="167" t="s">
        <v>249</v>
      </c>
      <c r="P66" s="167" t="s">
        <v>220</v>
      </c>
      <c r="Q66" s="167" t="s">
        <v>220</v>
      </c>
      <c r="R66" s="167" t="s">
        <v>220</v>
      </c>
      <c r="S66" s="167" t="s">
        <v>220</v>
      </c>
      <c r="T66" s="167" t="s">
        <v>220</v>
      </c>
      <c r="U66" s="167" t="s">
        <v>220</v>
      </c>
      <c r="V66" s="167" t="s">
        <v>220</v>
      </c>
      <c r="W66" s="167" t="s">
        <v>220</v>
      </c>
      <c r="X66" s="167" t="s">
        <v>220</v>
      </c>
      <c r="Y66" s="167" t="s">
        <v>220</v>
      </c>
      <c r="Z66" s="167" t="s">
        <v>220</v>
      </c>
      <c r="AA66" s="167" t="s">
        <v>220</v>
      </c>
      <c r="AB66" s="167" t="s">
        <v>220</v>
      </c>
      <c r="AC66" s="167" t="s">
        <v>220</v>
      </c>
      <c r="AD66" s="167" t="s">
        <v>220</v>
      </c>
      <c r="AE66" s="167" t="s">
        <v>220</v>
      </c>
      <c r="AF66" s="167" t="s">
        <v>220</v>
      </c>
      <c r="AG66" s="167" t="s">
        <v>220</v>
      </c>
      <c r="AH66" s="167" t="s">
        <v>220</v>
      </c>
      <c r="AI66" s="167" t="s">
        <v>220</v>
      </c>
      <c r="AJ66" s="167" t="s">
        <v>220</v>
      </c>
      <c r="AK66" s="167" t="s">
        <v>220</v>
      </c>
      <c r="AL66" s="167" t="s">
        <v>220</v>
      </c>
      <c r="AM66" s="167" t="s">
        <v>220</v>
      </c>
      <c r="AN66" s="167" t="s">
        <v>220</v>
      </c>
      <c r="AO66" s="167" t="s">
        <v>220</v>
      </c>
      <c r="AP66" s="167" t="s">
        <v>220</v>
      </c>
      <c r="AQ66" s="167" t="s">
        <v>220</v>
      </c>
      <c r="AR66" s="167" t="s">
        <v>220</v>
      </c>
      <c r="AS66" s="167" t="s">
        <v>220</v>
      </c>
      <c r="AT66" s="167" t="s">
        <v>220</v>
      </c>
      <c r="AU66" s="167" t="s">
        <v>220</v>
      </c>
      <c r="AV66" s="167" t="s">
        <v>220</v>
      </c>
      <c r="AW66" s="167" t="s">
        <v>220</v>
      </c>
      <c r="AX66" s="167" t="s">
        <v>220</v>
      </c>
      <c r="AY66" s="167" t="s">
        <v>220</v>
      </c>
      <c r="AZ66" s="167" t="s">
        <v>220</v>
      </c>
      <c r="BA66" s="167" t="s">
        <v>220</v>
      </c>
      <c r="BB66" s="167" t="s">
        <v>220</v>
      </c>
      <c r="BC66" s="167" t="s">
        <v>220</v>
      </c>
      <c r="BD66" s="167" t="s">
        <v>220</v>
      </c>
      <c r="BE66" s="167" t="s">
        <v>220</v>
      </c>
      <c r="BF66" s="167" t="s">
        <v>220</v>
      </c>
      <c r="BG66" s="167" t="s">
        <v>220</v>
      </c>
      <c r="BH66" s="167" t="s">
        <v>220</v>
      </c>
      <c r="BI66" s="167" t="s">
        <v>220</v>
      </c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</row>
    <row r="67" spans="1:75" ht="20" x14ac:dyDescent="0.2">
      <c r="A67" s="21" t="s">
        <v>220</v>
      </c>
      <c r="B67" s="21" t="s">
        <v>220</v>
      </c>
      <c r="C67" s="30" t="s">
        <v>265</v>
      </c>
      <c r="D67" s="7" t="s">
        <v>265</v>
      </c>
      <c r="E67" s="7" t="s">
        <v>597</v>
      </c>
      <c r="F67" s="167" t="s">
        <v>265</v>
      </c>
      <c r="G67" s="167" t="s">
        <v>258</v>
      </c>
      <c r="H67" s="167" t="s">
        <v>265</v>
      </c>
      <c r="I67" s="167" t="s">
        <v>265</v>
      </c>
      <c r="J67" s="167" t="s">
        <v>243</v>
      </c>
      <c r="K67" s="167" t="s">
        <v>243</v>
      </c>
      <c r="L67" s="167" t="s">
        <v>243</v>
      </c>
      <c r="M67" s="167" t="s">
        <v>243</v>
      </c>
      <c r="N67" s="167" t="s">
        <v>249</v>
      </c>
      <c r="O67" s="167" t="s">
        <v>249</v>
      </c>
      <c r="P67" s="167" t="s">
        <v>258</v>
      </c>
      <c r="Q67" s="167" t="s">
        <v>258</v>
      </c>
      <c r="R67" s="167" t="s">
        <v>265</v>
      </c>
      <c r="S67" s="167" t="s">
        <v>265</v>
      </c>
      <c r="T67" s="167" t="s">
        <v>265</v>
      </c>
      <c r="U67" s="167" t="s">
        <v>258</v>
      </c>
      <c r="V67" s="167" t="s">
        <v>265</v>
      </c>
      <c r="W67" s="167" t="s">
        <v>265</v>
      </c>
      <c r="X67" s="167" t="s">
        <v>243</v>
      </c>
      <c r="Y67" s="167" t="s">
        <v>243</v>
      </c>
      <c r="Z67" s="167" t="s">
        <v>243</v>
      </c>
      <c r="AA67" s="167" t="s">
        <v>243</v>
      </c>
      <c r="AB67" s="167" t="s">
        <v>265</v>
      </c>
      <c r="AC67" s="167" t="s">
        <v>258</v>
      </c>
      <c r="AD67" s="167" t="s">
        <v>258</v>
      </c>
      <c r="AE67" s="167" t="s">
        <v>258</v>
      </c>
      <c r="AF67" s="167" t="s">
        <v>265</v>
      </c>
      <c r="AG67" s="167" t="s">
        <v>265</v>
      </c>
      <c r="AH67" s="167" t="s">
        <v>265</v>
      </c>
      <c r="AI67" s="167" t="s">
        <v>258</v>
      </c>
      <c r="AJ67" s="167" t="s">
        <v>265</v>
      </c>
      <c r="AK67" s="167" t="s">
        <v>265</v>
      </c>
      <c r="AL67" s="167" t="s">
        <v>243</v>
      </c>
      <c r="AM67" s="167" t="s">
        <v>243</v>
      </c>
      <c r="AN67" s="167" t="s">
        <v>243</v>
      </c>
      <c r="AO67" s="167" t="s">
        <v>243</v>
      </c>
      <c r="AP67" s="167" t="s">
        <v>265</v>
      </c>
      <c r="AQ67" s="167" t="s">
        <v>258</v>
      </c>
      <c r="AR67" s="167" t="s">
        <v>258</v>
      </c>
      <c r="AS67" s="167" t="s">
        <v>258</v>
      </c>
      <c r="AT67" s="167" t="s">
        <v>265</v>
      </c>
      <c r="AU67" s="167" t="s">
        <v>265</v>
      </c>
      <c r="AV67" s="167" t="s">
        <v>265</v>
      </c>
      <c r="AW67" s="167" t="s">
        <v>258</v>
      </c>
      <c r="AX67" s="167" t="s">
        <v>253</v>
      </c>
      <c r="AY67" s="167" t="s">
        <v>253</v>
      </c>
      <c r="AZ67" s="167" t="s">
        <v>243</v>
      </c>
      <c r="BA67" s="167" t="s">
        <v>243</v>
      </c>
      <c r="BB67" s="167" t="s">
        <v>243</v>
      </c>
      <c r="BC67" s="167" t="s">
        <v>243</v>
      </c>
      <c r="BD67" s="167" t="s">
        <v>265</v>
      </c>
      <c r="BE67" s="167" t="s">
        <v>258</v>
      </c>
      <c r="BF67" s="167" t="s">
        <v>258</v>
      </c>
      <c r="BG67" s="167" t="s">
        <v>258</v>
      </c>
      <c r="BH67" s="167" t="s">
        <v>265</v>
      </c>
      <c r="BI67" s="167" t="s">
        <v>265</v>
      </c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</row>
    <row r="68" spans="1:75" ht="20" x14ac:dyDescent="0.2">
      <c r="A68" s="21" t="s">
        <v>220</v>
      </c>
      <c r="B68" s="21" t="s">
        <v>220</v>
      </c>
      <c r="C68" s="30" t="s">
        <v>285</v>
      </c>
      <c r="D68" s="7" t="s">
        <v>285</v>
      </c>
      <c r="E68" s="7" t="s">
        <v>598</v>
      </c>
      <c r="F68" s="167"/>
      <c r="G68" s="167"/>
      <c r="H68" s="167"/>
      <c r="I68" s="167"/>
      <c r="J68" s="167" t="s">
        <v>243</v>
      </c>
      <c r="K68" s="167" t="s">
        <v>243</v>
      </c>
      <c r="L68" s="167" t="s">
        <v>243</v>
      </c>
      <c r="M68" s="167" t="s">
        <v>243</v>
      </c>
      <c r="N68" s="167" t="s">
        <v>249</v>
      </c>
      <c r="O68" s="167" t="s">
        <v>249</v>
      </c>
      <c r="P68" s="167"/>
      <c r="Q68" s="167"/>
      <c r="R68" s="167"/>
      <c r="S68" s="167"/>
      <c r="T68" s="167"/>
      <c r="U68" s="167"/>
      <c r="V68" s="167"/>
      <c r="W68" s="167"/>
      <c r="X68" s="167" t="s">
        <v>243</v>
      </c>
      <c r="Y68" s="167" t="s">
        <v>243</v>
      </c>
      <c r="Z68" s="167" t="s">
        <v>243</v>
      </c>
      <c r="AA68" s="167" t="s">
        <v>243</v>
      </c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 t="s">
        <v>243</v>
      </c>
      <c r="AM68" s="167" t="s">
        <v>243</v>
      </c>
      <c r="AN68" s="167" t="s">
        <v>243</v>
      </c>
      <c r="AO68" s="167" t="s">
        <v>243</v>
      </c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 t="s">
        <v>243</v>
      </c>
      <c r="BA68" s="167" t="s">
        <v>243</v>
      </c>
      <c r="BB68" s="167" t="s">
        <v>243</v>
      </c>
      <c r="BC68" s="167" t="s">
        <v>243</v>
      </c>
      <c r="BD68" s="167"/>
      <c r="BE68" s="167"/>
      <c r="BF68" s="167"/>
      <c r="BG68" s="167"/>
      <c r="BH68" s="167"/>
      <c r="BI68" s="167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</row>
    <row r="69" spans="1:75" ht="20" x14ac:dyDescent="0.2">
      <c r="A69" s="21" t="s">
        <v>220</v>
      </c>
      <c r="B69" s="21" t="s">
        <v>220</v>
      </c>
      <c r="C69" s="21" t="s">
        <v>220</v>
      </c>
      <c r="D69" s="22" t="s">
        <v>220</v>
      </c>
      <c r="E69" s="21" t="s">
        <v>220</v>
      </c>
      <c r="F69" s="18" t="s">
        <v>220</v>
      </c>
      <c r="G69" s="18" t="s">
        <v>220</v>
      </c>
      <c r="H69" s="18" t="s">
        <v>220</v>
      </c>
      <c r="I69" s="18" t="s">
        <v>220</v>
      </c>
      <c r="J69" s="18" t="s">
        <v>220</v>
      </c>
      <c r="K69" s="18" t="s">
        <v>220</v>
      </c>
      <c r="L69" s="18" t="s">
        <v>220</v>
      </c>
      <c r="M69" s="18" t="s">
        <v>220</v>
      </c>
      <c r="N69" s="18" t="s">
        <v>220</v>
      </c>
      <c r="O69" s="18" t="s">
        <v>220</v>
      </c>
      <c r="P69" s="18" t="s">
        <v>220</v>
      </c>
      <c r="Q69" s="18" t="s">
        <v>220</v>
      </c>
      <c r="R69" s="18" t="s">
        <v>220</v>
      </c>
      <c r="S69" s="18" t="s">
        <v>220</v>
      </c>
      <c r="T69" s="18" t="s">
        <v>220</v>
      </c>
      <c r="U69" s="18" t="s">
        <v>220</v>
      </c>
      <c r="V69" s="18" t="s">
        <v>220</v>
      </c>
      <c r="W69" s="18" t="s">
        <v>220</v>
      </c>
      <c r="X69" s="18" t="s">
        <v>220</v>
      </c>
      <c r="Y69" s="18" t="s">
        <v>220</v>
      </c>
      <c r="Z69" s="18" t="s">
        <v>220</v>
      </c>
      <c r="AA69" s="18" t="s">
        <v>220</v>
      </c>
      <c r="AB69" s="18" t="s">
        <v>220</v>
      </c>
      <c r="AC69" s="18" t="s">
        <v>220</v>
      </c>
      <c r="AD69" s="18" t="s">
        <v>220</v>
      </c>
      <c r="AE69" s="18" t="s">
        <v>220</v>
      </c>
      <c r="AF69" s="18" t="s">
        <v>220</v>
      </c>
      <c r="AG69" s="18" t="s">
        <v>220</v>
      </c>
      <c r="AH69" s="18" t="s">
        <v>220</v>
      </c>
      <c r="AI69" s="18" t="s">
        <v>220</v>
      </c>
      <c r="AJ69" s="18" t="s">
        <v>220</v>
      </c>
      <c r="AK69" s="18" t="s">
        <v>220</v>
      </c>
      <c r="AL69" s="18" t="s">
        <v>220</v>
      </c>
      <c r="AM69" s="18" t="s">
        <v>220</v>
      </c>
      <c r="AN69" s="18" t="s">
        <v>220</v>
      </c>
      <c r="AO69" s="18" t="s">
        <v>220</v>
      </c>
      <c r="AP69" s="18" t="s">
        <v>220</v>
      </c>
      <c r="AQ69" s="18" t="s">
        <v>220</v>
      </c>
      <c r="AR69" s="18" t="s">
        <v>220</v>
      </c>
      <c r="AS69" s="18" t="s">
        <v>220</v>
      </c>
      <c r="AT69" s="18" t="s">
        <v>220</v>
      </c>
      <c r="AU69" s="18" t="s">
        <v>220</v>
      </c>
      <c r="AV69" s="18" t="s">
        <v>220</v>
      </c>
      <c r="AW69" s="18" t="s">
        <v>220</v>
      </c>
      <c r="AX69" s="18" t="s">
        <v>220</v>
      </c>
      <c r="AY69" s="18" t="s">
        <v>220</v>
      </c>
      <c r="AZ69" s="18" t="s">
        <v>220</v>
      </c>
      <c r="BA69" s="18" t="s">
        <v>220</v>
      </c>
      <c r="BB69" s="18" t="s">
        <v>220</v>
      </c>
      <c r="BC69" s="18" t="s">
        <v>220</v>
      </c>
      <c r="BD69" s="18" t="s">
        <v>220</v>
      </c>
      <c r="BE69" s="18" t="s">
        <v>220</v>
      </c>
      <c r="BF69" s="18" t="s">
        <v>220</v>
      </c>
      <c r="BG69" s="18" t="s">
        <v>220</v>
      </c>
      <c r="BH69" s="18" t="s">
        <v>220</v>
      </c>
      <c r="BI69" s="18" t="s">
        <v>220</v>
      </c>
      <c r="BJ69" s="152"/>
      <c r="BK69" s="152"/>
      <c r="BL69" s="152"/>
      <c r="BM69" s="39" t="s">
        <v>220</v>
      </c>
      <c r="BN69" s="153" t="s">
        <v>220</v>
      </c>
      <c r="BO69" s="153" t="s">
        <v>220</v>
      </c>
      <c r="BP69" s="156" t="s">
        <v>220</v>
      </c>
      <c r="BQ69" s="153" t="s">
        <v>220</v>
      </c>
      <c r="BR69" s="156" t="s">
        <v>220</v>
      </c>
      <c r="BS69" s="156" t="s">
        <v>220</v>
      </c>
      <c r="BT69" s="152"/>
      <c r="BU69" s="152"/>
      <c r="BV69" s="152"/>
      <c r="BW69" s="152"/>
    </row>
    <row r="70" spans="1:75" x14ac:dyDescent="0.2">
      <c r="C70" s="40" t="s">
        <v>220</v>
      </c>
      <c r="D70" s="40" t="s">
        <v>220</v>
      </c>
      <c r="E70" s="40" t="s">
        <v>220</v>
      </c>
      <c r="F70" s="40" t="s">
        <v>220</v>
      </c>
      <c r="G70" s="40" t="s">
        <v>220</v>
      </c>
      <c r="H70" s="40" t="s">
        <v>220</v>
      </c>
      <c r="I70" s="40" t="s">
        <v>220</v>
      </c>
      <c r="J70" s="40" t="s">
        <v>220</v>
      </c>
      <c r="K70" s="40" t="s">
        <v>220</v>
      </c>
      <c r="L70" s="40" t="s">
        <v>220</v>
      </c>
      <c r="M70" s="40" t="s">
        <v>220</v>
      </c>
      <c r="N70" s="40" t="s">
        <v>220</v>
      </c>
      <c r="O70" s="40" t="s">
        <v>220</v>
      </c>
      <c r="P70" s="40" t="s">
        <v>220</v>
      </c>
      <c r="Q70" s="40" t="s">
        <v>220</v>
      </c>
      <c r="R70" s="40" t="s">
        <v>220</v>
      </c>
      <c r="S70" s="40" t="s">
        <v>220</v>
      </c>
      <c r="T70" s="40" t="s">
        <v>220</v>
      </c>
      <c r="U70" s="40" t="s">
        <v>220</v>
      </c>
      <c r="V70" s="40" t="s">
        <v>220</v>
      </c>
      <c r="W70" s="40" t="s">
        <v>220</v>
      </c>
      <c r="X70" s="40" t="s">
        <v>220</v>
      </c>
      <c r="Y70" s="40" t="s">
        <v>220</v>
      </c>
      <c r="Z70" s="40" t="s">
        <v>220</v>
      </c>
      <c r="AA70" s="40" t="s">
        <v>220</v>
      </c>
      <c r="AB70" s="40" t="s">
        <v>220</v>
      </c>
      <c r="AC70" s="40" t="s">
        <v>220</v>
      </c>
      <c r="AD70" s="40" t="s">
        <v>220</v>
      </c>
      <c r="AE70" s="40" t="s">
        <v>220</v>
      </c>
      <c r="AF70" s="40" t="s">
        <v>220</v>
      </c>
      <c r="AG70" s="40" t="s">
        <v>220</v>
      </c>
      <c r="AH70" s="40" t="s">
        <v>220</v>
      </c>
      <c r="AI70" s="40" t="s">
        <v>220</v>
      </c>
      <c r="AJ70" s="40" t="s">
        <v>220</v>
      </c>
      <c r="AK70" s="40" t="s">
        <v>220</v>
      </c>
      <c r="AL70" s="40" t="s">
        <v>220</v>
      </c>
      <c r="AM70" s="40" t="s">
        <v>220</v>
      </c>
      <c r="AN70" s="40" t="s">
        <v>220</v>
      </c>
      <c r="AO70" s="40" t="s">
        <v>220</v>
      </c>
      <c r="AP70" s="40" t="s">
        <v>220</v>
      </c>
      <c r="AQ70" s="40" t="s">
        <v>220</v>
      </c>
      <c r="AR70" s="40" t="s">
        <v>220</v>
      </c>
      <c r="AS70" s="40" t="s">
        <v>220</v>
      </c>
      <c r="AT70" s="40" t="s">
        <v>220</v>
      </c>
      <c r="AU70" s="40" t="s">
        <v>220</v>
      </c>
      <c r="AV70" s="40" t="s">
        <v>220</v>
      </c>
      <c r="AW70" s="40" t="s">
        <v>220</v>
      </c>
      <c r="AX70" s="40" t="s">
        <v>220</v>
      </c>
      <c r="AY70" s="40" t="s">
        <v>220</v>
      </c>
      <c r="AZ70" s="40" t="s">
        <v>220</v>
      </c>
      <c r="BA70" s="40" t="s">
        <v>220</v>
      </c>
      <c r="BB70" s="40" t="s">
        <v>220</v>
      </c>
      <c r="BC70" s="40" t="s">
        <v>220</v>
      </c>
      <c r="BD70" s="40" t="s">
        <v>220</v>
      </c>
      <c r="BE70" s="40" t="s">
        <v>220</v>
      </c>
      <c r="BF70" s="40" t="s">
        <v>220</v>
      </c>
      <c r="BG70" s="40" t="s">
        <v>220</v>
      </c>
      <c r="BH70" s="40" t="s">
        <v>220</v>
      </c>
      <c r="BI70" s="40" t="s">
        <v>220</v>
      </c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</row>
    <row r="71" spans="1:75" ht="15" customHeight="1" x14ac:dyDescent="0.25">
      <c r="C71" s="281"/>
      <c r="D71" s="281"/>
      <c r="E71" s="41" t="s">
        <v>286</v>
      </c>
      <c r="F71" s="286" t="s">
        <v>232</v>
      </c>
      <c r="G71" s="287"/>
      <c r="H71" s="284" t="s">
        <v>233</v>
      </c>
      <c r="I71" s="285"/>
      <c r="J71" s="42" t="s">
        <v>243</v>
      </c>
      <c r="K71" s="43" t="s">
        <v>243</v>
      </c>
      <c r="L71" s="43" t="s">
        <v>243</v>
      </c>
      <c r="M71" s="44" t="s">
        <v>243</v>
      </c>
      <c r="N71" s="284" t="s">
        <v>236</v>
      </c>
      <c r="O71" s="285"/>
      <c r="P71" s="286" t="s">
        <v>237</v>
      </c>
      <c r="Q71" s="287"/>
      <c r="R71" s="284" t="s">
        <v>238</v>
      </c>
      <c r="S71" s="285"/>
      <c r="T71" s="286" t="s">
        <v>232</v>
      </c>
      <c r="U71" s="287"/>
      <c r="V71" s="284" t="s">
        <v>233</v>
      </c>
      <c r="W71" s="285"/>
      <c r="X71" s="42" t="s">
        <v>243</v>
      </c>
      <c r="Y71" s="43" t="s">
        <v>243</v>
      </c>
      <c r="Z71" s="43" t="s">
        <v>243</v>
      </c>
      <c r="AA71" s="44" t="s">
        <v>243</v>
      </c>
      <c r="AB71" s="284" t="s">
        <v>236</v>
      </c>
      <c r="AC71" s="285"/>
      <c r="AD71" s="286" t="s">
        <v>237</v>
      </c>
      <c r="AE71" s="287"/>
      <c r="AF71" s="284" t="s">
        <v>238</v>
      </c>
      <c r="AG71" s="285"/>
      <c r="AH71" s="286" t="s">
        <v>232</v>
      </c>
      <c r="AI71" s="287"/>
      <c r="AJ71" s="284" t="s">
        <v>233</v>
      </c>
      <c r="AK71" s="285"/>
      <c r="AL71" s="42" t="s">
        <v>243</v>
      </c>
      <c r="AM71" s="43" t="s">
        <v>243</v>
      </c>
      <c r="AN71" s="43" t="s">
        <v>243</v>
      </c>
      <c r="AO71" s="44" t="s">
        <v>243</v>
      </c>
      <c r="AP71" s="284" t="s">
        <v>236</v>
      </c>
      <c r="AQ71" s="285"/>
      <c r="AR71" s="286" t="s">
        <v>237</v>
      </c>
      <c r="AS71" s="287"/>
      <c r="AT71" s="284" t="s">
        <v>238</v>
      </c>
      <c r="AU71" s="285"/>
      <c r="AV71" s="286" t="s">
        <v>232</v>
      </c>
      <c r="AW71" s="287"/>
      <c r="AX71" s="284" t="s">
        <v>233</v>
      </c>
      <c r="AY71" s="285"/>
      <c r="AZ71" s="42" t="s">
        <v>243</v>
      </c>
      <c r="BA71" s="43" t="s">
        <v>243</v>
      </c>
      <c r="BB71" s="43" t="s">
        <v>243</v>
      </c>
      <c r="BC71" s="44" t="s">
        <v>243</v>
      </c>
      <c r="BD71" s="284" t="s">
        <v>236</v>
      </c>
      <c r="BE71" s="285"/>
      <c r="BF71" s="286" t="s">
        <v>237</v>
      </c>
      <c r="BG71" s="287"/>
      <c r="BH71" s="284" t="s">
        <v>238</v>
      </c>
      <c r="BI71" s="285"/>
      <c r="BJ71" s="152"/>
      <c r="BK71" s="152"/>
      <c r="BL71" s="152"/>
      <c r="BM71" s="152"/>
      <c r="BN71" s="45" t="s">
        <v>287</v>
      </c>
      <c r="BO71" s="45"/>
      <c r="BP71" s="152"/>
      <c r="BQ71" s="152"/>
      <c r="BR71" s="152"/>
      <c r="BS71" s="152"/>
      <c r="BT71" s="152"/>
      <c r="BU71" s="152"/>
      <c r="BV71" s="152"/>
      <c r="BW71" s="152"/>
    </row>
    <row r="72" spans="1:75" ht="21" x14ac:dyDescent="0.25">
      <c r="C72" s="152"/>
      <c r="D72" s="152"/>
      <c r="E72" s="46" t="s">
        <v>288</v>
      </c>
      <c r="F72" s="78">
        <f>COUNTIF(F1:F48,"C")*(1)+COUNTIF(F1:F48,"C30")*(1)+COUNTIF(F1:F48,"C40")*(1)+COUNTIF(F1:F48,"C60")*(1)+COUNTIF(F1:F48,"VASc")*(1)+COUNTIF(F1:F48,"GAC")*(1)+COUNTIF(F1:F48,"C-I")*(1)+COUNTIF(F1:F48,"PAP")*(2)+COUNTIF(F38:F54,"SM")*(1)+COUNTIF(F1:F48,"VAS")*(1)+COUNTIF(F1:F48,"PR")*(1)+COUNTIF(F1:F48,"PE")*(1)+COUNTIF(F1:F48,"C10")*(1)+COUNTIF(F1:F48,"V1")*(1)+COUNTIF(F1:F48,"V2")*(1)+COUNTIF(F1:F48,"V3")*(1)+COUNTIF(F1:F48,"OPR")*(1)+COUNTIF(F1:F48,"CF2V")*(0.5)+COUNTIF(F1:F48,"CV2F")*(0.5)+COUNTIF(F34:F34,"SM")*(1)</f>
        <v>5</v>
      </c>
      <c r="G72" s="78">
        <f>COUNTIF(G1:G48,"C")*(1)+COUNTIF(G1:G48,"C30")*(1)+COUNTIF(G1:G48,"C40")*(1)+COUNTIF(G1:G48,"C60")*(1)+COUNTIF(G1:G48,"VASc")*(1)+COUNTIF(G1:G48,"GAC")*(1)+COUNTIF(G1:G48,"C-I")*(1)+COUNTIF(G1:G48,"PAP")*(2)+COUNTIF(G38:G54,"SM")*(1)+COUNTIF(G1:G48,"VAS")*(1)+COUNTIF(G1:G48,"PR")*(1)+COUNTIF(G1:G48,"PE")*(1)+COUNTIF(G1:G48,"C10")*(1)+COUNTIF(G1:G48,"V1")*(1)+COUNTIF(G1:G48,"V2")*(1)+COUNTIF(G1:G48,"V3")*(1)+COUNTIF(G1:G48,"OPR")*(1)+COUNTIF(G1:G48,"CF2V")*(0.5)+COUNTIF(G1:G48,"CV2F")*(0.5)+COUNTIF(G34:G34,"SM")*(1)</f>
        <v>3</v>
      </c>
      <c r="H72" s="78">
        <f>COUNTIF(H1:H48,"C")*(1)+COUNTIF(H1:H48,"C30")*(1)+COUNTIF(H1:H48,"C40")*(1)+COUNTIF(H1:H48,"C60")*(1)+COUNTIF(H1:H48,"VASc")*(1)+COUNTIF(H1:H48,"GAC")*(1)+COUNTIF(H1:H48,"C-I")*(1)+COUNTIF(H1:H48,"PAP")*(2)+COUNTIF(H38:H54,"SM")*(1)+COUNTIF(H1:H48,"VAS")*(1)+COUNTIF(H1:H48,"PR")*(1)+COUNTIF(H1:H48,"PE")*(1)+COUNTIF(H1:H48,"C10")*(1)+COUNTIF(H1:H48,"V1")*(1)+COUNTIF(H1:H48,"V2")*(1)+COUNTIF(H1:H48,"V3")*(1)+COUNTIF(H1:H48,"OPR")*(1)+COUNTIF(H1:H48,"CF2V")*(0.5)+COUNTIF(H1:H48,"CV2F")*(0.5)+COUNTIF(H34:H34,"SM")*(1)</f>
        <v>3</v>
      </c>
      <c r="I72" s="78">
        <f>COUNTIF(I1:I48,"C")*(1)+COUNTIF(I1:I48,"C30")*(1)+COUNTIF(I1:I48,"C40")*(1)+COUNTIF(I1:I48,"C60")*(1)+COUNTIF(I1:I48,"VASc")*(1)+COUNTIF(I1:I48,"GAC")*(1)+COUNTIF(I1:I48,"C-I")*(1)+COUNTIF(I1:I48,"PAP")*(2)+COUNTIF(I38:I54,"SM")*(1)+COUNTIF(I1:I48,"VAS")*(1)+COUNTIF(I1:I48,"PR")*(1)+COUNTIF(I1:I48,"PE")*(1)+COUNTIF(I1:I48,"C10")*(1)+COUNTIF(I1:I48,"V1")*(1)+COUNTIF(I1:I48,"V2")*(1)+COUNTIF(I1:I48,"V3")*(1)+COUNTIF(I1:I48,"OPR")*(1)+COUNTIF(I1:I48,"CF2V")*(0.5)+COUNTIF(I1:I48,"CV2F")*(0.5)+COUNTIF(I34:I34,"SM")*(1)</f>
        <v>4</v>
      </c>
      <c r="J72" s="42" t="s">
        <v>243</v>
      </c>
      <c r="K72" s="43" t="s">
        <v>243</v>
      </c>
      <c r="L72" s="43" t="s">
        <v>243</v>
      </c>
      <c r="M72" s="44" t="s">
        <v>243</v>
      </c>
      <c r="N72" s="78">
        <f t="shared" ref="N72:W72" si="19">COUNTIF(N1:N48,"C")*(1)+COUNTIF(N1:N48,"C30")*(1)+COUNTIF(N1:N48,"C40")*(1)+COUNTIF(N1:N48,"C60")*(1)+COUNTIF(N1:N48,"VASc")*(1)+COUNTIF(N1:N48,"GAC")*(1)+COUNTIF(N1:N48,"C-I")*(1)+COUNTIF(N1:N48,"PAP")*(2)+COUNTIF(N38:N54,"SM")*(1)+COUNTIF(N1:N48,"VAS")*(1)+COUNTIF(N1:N48,"PR")*(1)+COUNTIF(N1:N48,"PE")*(1)+COUNTIF(N1:N48,"C10")*(1)+COUNTIF(N1:N48,"V1")*(1)+COUNTIF(N1:N48,"V2")*(1)+COUNTIF(N1:N48,"V3")*(1)+COUNTIF(N1:N48,"OPR")*(1)+COUNTIF(N1:N48,"CF2V")*(0.5)+COUNTIF(N1:N48,"CV2F")*(0.5)+COUNTIF(N34:N34,"SM")*(1)</f>
        <v>0</v>
      </c>
      <c r="O72" s="78">
        <f t="shared" si="19"/>
        <v>0</v>
      </c>
      <c r="P72" s="78">
        <f t="shared" si="19"/>
        <v>6</v>
      </c>
      <c r="Q72" s="78">
        <f t="shared" si="19"/>
        <v>3</v>
      </c>
      <c r="R72" s="78">
        <f>COUNTIF(R1:R48,"C")*(1)+COUNTIF(R1:R48,"C30")*(1)+COUNTIF(R1:R48,"C40")*(1)+COUNTIF(R1:R48,"C60")*(1)+COUNTIF(R1:R48,"VASc")*(1)+COUNTIF(R1:R48,"GAC")*(1)+COUNTIF(R1:R48,"C-I")*(1)+COUNTIF(R1:R48,"PAP")*(2)+COUNTIF(R36:R54,"SM")*(1)+COUNTIF(R1:R48,"VAS")*(1)+COUNTIF(R1:R48,"PR")*(1)+COUNTIF(R1:R48,"PE")*(1)+COUNTIF(R1:R48,"C10")*(1)+COUNTIF(R1:R48,"V1")*(1)+COUNTIF(R1:R48,"V2")*(1)+COUNTIF(R1:R48,"V3")*(1)+COUNTIF(R1:R48,"OPR")*(1)+COUNTIF(R1:R48,"CF2V")*(0.5)+COUNTIF(R1:R48,"CV2F")*(0.5)+COUNTIF(R34:R34,"SM")*(1)</f>
        <v>5</v>
      </c>
      <c r="S72" s="78">
        <f>COUNTIF(S1:S48,"C")*(1)+COUNTIF(S1:S48,"C30")*(1)+COUNTIF(S1:S48,"C40")*(1)+COUNTIF(S1:S48,"C60")*(1)+COUNTIF(S1:S48,"VASc")*(1)+COUNTIF(S1:S48,"GAC")*(1)+COUNTIF(S1:S48,"C-I")*(1)+COUNTIF(S1:S48,"PAP")*(2)+COUNTIF(S36:S54,"SM")*(1)+COUNTIF(S1:S48,"VAS")*(1)+COUNTIF(S1:S48,"PR")*(1)+COUNTIF(S1:S48,"PE")*(1)+COUNTIF(S1:S48,"C10")*(1)+COUNTIF(S1:S48,"V1")*(1)+COUNTIF(S1:S48,"V2")*(1)+COUNTIF(S1:S48,"V3")*(1)+COUNTIF(S1:S48,"OPR")*(1)+COUNTIF(S1:S48,"CF2V")*(0.5)+COUNTIF(S1:S48,"CV2F")*(0.5)+COUNTIF(S34:S34,"SM")*(1)</f>
        <v>0</v>
      </c>
      <c r="T72" s="78">
        <f t="shared" si="19"/>
        <v>5</v>
      </c>
      <c r="U72" s="78">
        <f t="shared" si="19"/>
        <v>2</v>
      </c>
      <c r="V72" s="78">
        <f t="shared" si="19"/>
        <v>6</v>
      </c>
      <c r="W72" s="78">
        <f t="shared" si="19"/>
        <v>5</v>
      </c>
      <c r="X72" s="42" t="s">
        <v>243</v>
      </c>
      <c r="Y72" s="43" t="s">
        <v>243</v>
      </c>
      <c r="Z72" s="43" t="s">
        <v>243</v>
      </c>
      <c r="AA72" s="44" t="s">
        <v>243</v>
      </c>
      <c r="AB72" s="78">
        <f t="shared" ref="AB72:AK72" si="20">COUNTIF(AB1:AB48,"C")*(1)+COUNTIF(AB1:AB48,"C30")*(1)+COUNTIF(AB1:AB48,"C40")*(1)+COUNTIF(AB1:AB48,"C60")*(1)+COUNTIF(AB1:AB48,"VASc")*(1)+COUNTIF(AB1:AB48,"GAC")*(1)+COUNTIF(AB1:AB48,"C-I")*(1)+COUNTIF(AB1:AB48,"PAP")*(2)+COUNTIF(AB38:AB54,"SM")*(1)+COUNTIF(AB1:AB48,"VAS")*(1)+COUNTIF(AB1:AB48,"PR")*(1)+COUNTIF(AB1:AB48,"PE")*(1)+COUNTIF(AB1:AB48,"C10")*(1)+COUNTIF(AB1:AB48,"V1")*(1)+COUNTIF(AB1:AB48,"V2")*(1)+COUNTIF(AB1:AB48,"V3")*(1)+COUNTIF(AB1:AB48,"OPR")*(1)+COUNTIF(AB1:AB48,"CF2V")*(0.5)+COUNTIF(AB1:AB48,"CV2F")*(0.5)+COUNTIF(AB34:AB34,"SM")*(1)</f>
        <v>3</v>
      </c>
      <c r="AC72" s="78">
        <f t="shared" si="20"/>
        <v>4</v>
      </c>
      <c r="AD72" s="78">
        <f t="shared" si="20"/>
        <v>5</v>
      </c>
      <c r="AE72" s="78">
        <f t="shared" si="20"/>
        <v>6</v>
      </c>
      <c r="AF72" s="78">
        <f>COUNTIF(AF1:AF48,"C")*(1)+COUNTIF(AF1:AF48,"C30")*(1)+COUNTIF(AF1:AF48,"C40")*(1)+COUNTIF(AF1:AF48,"C60")*(1)+COUNTIF(AF1:AF48,"VASc")*(1)+COUNTIF(AF1:AF48,"GAC")*(1)+COUNTIF(AF1:AF48,"C-I")*(1)+COUNTIF(AF1:AF48,"PAP")*(2)+COUNTIF(AF38:AF54,"SM")*(1)+COUNTIF(AF1:AF48,"VAS")*(1)+COUNTIF(AF1:AF48,"PR")*(1)+COUNTIF(AF1:AF48,"PE")*(1)+COUNTIF(AF1:AF48,"C10")*(1)+COUNTIF(AF1:AF48,"V1")*(1)+COUNTIF(AF1:AF48,"V2")*(1)+COUNTIF(AF1:AF48,"V3")*(1)+COUNTIF(AF1:AF48,"OPR")*(1)+COUNTIF(AF1:AF48,"CF2V")*(0.5)+COUNTIF(AF1:AF48,"CV2F")*(0.5)+COUNTIF(AF34:AF34,"SM")*(1)</f>
        <v>6</v>
      </c>
      <c r="AG72" s="78">
        <f>COUNTIF(AG1:AG48,"C")*(1)+COUNTIF(AG1:AG48,"C30")*(1)+COUNTIF(AG1:AG48,"C40")*(1)+COUNTIF(AG1:AG48,"C60")*(1)+COUNTIF(AG1:AG48,"VASc")*(1)+COUNTIF(AG1:AG48,"GAC")*(1)+COUNTIF(AG1:AG48,"C-I")*(1)+COUNTIF(AG1:AG48,"PAP")*(2)+COUNTIF(AG38:AG54,"SM")*(1)+COUNTIF(AG1:AG48,"VAS")*(1)+COUNTIF(AG1:AG48,"PR")*(1)+COUNTIF(AG1:AG48,"PE")*(1)+COUNTIF(AG1:AG48,"C10")*(1)+COUNTIF(AG1:AG48,"V1")*(1)+COUNTIF(AG1:AG48,"V2")*(1)+COUNTIF(AG1:AG48,"V3")*(1)+COUNTIF(AG1:AG48,"OPR")*(1)+COUNTIF(AG1:AG48,"CF2V")*(0.5)+COUNTIF(AG1:AG48,"CV2F")*(0.5)+COUNTIF(AG34:AG34,"SM")*(1)</f>
        <v>0</v>
      </c>
      <c r="AH72" s="78">
        <f t="shared" si="20"/>
        <v>6</v>
      </c>
      <c r="AI72" s="78">
        <f t="shared" si="20"/>
        <v>3</v>
      </c>
      <c r="AJ72" s="78">
        <f t="shared" si="20"/>
        <v>2</v>
      </c>
      <c r="AK72" s="78">
        <f t="shared" si="20"/>
        <v>4</v>
      </c>
      <c r="AL72" s="42" t="s">
        <v>243</v>
      </c>
      <c r="AM72" s="43" t="s">
        <v>243</v>
      </c>
      <c r="AN72" s="43" t="s">
        <v>243</v>
      </c>
      <c r="AO72" s="44" t="s">
        <v>243</v>
      </c>
      <c r="AP72" s="78">
        <f t="shared" ref="AP72:AY72" si="21">COUNTIF(AP1:AP48,"C")*(1)+COUNTIF(AP1:AP48,"C30")*(1)+COUNTIF(AP1:AP48,"C40")*(1)+COUNTIF(AP1:AP48,"C60")*(1)+COUNTIF(AP1:AP48,"VASc")*(1)+COUNTIF(AP1:AP48,"GAC")*(1)+COUNTIF(AP1:AP48,"C-I")*(1)+COUNTIF(AP1:AP48,"PAP")*(2)+COUNTIF(AP38:AP54,"SM")*(1)+COUNTIF(AP1:AP48,"VAS")*(1)+COUNTIF(AP1:AP48,"PR")*(1)+COUNTIF(AP1:AP48,"PE")*(1)+COUNTIF(AP1:AP48,"C10")*(1)+COUNTIF(AP1:AP48,"V1")*(1)+COUNTIF(AP1:AP48,"V2")*(1)+COUNTIF(AP1:AP48,"V3")*(1)+COUNTIF(AP1:AP48,"OPR")*(1)+COUNTIF(AP1:AP48,"CF2V")*(0.5)+COUNTIF(AP1:AP48,"CV2F")*(0.5)+COUNTIF(AP34:AP34,"SM")*(1)</f>
        <v>9</v>
      </c>
      <c r="AQ72" s="78">
        <f t="shared" si="21"/>
        <v>3</v>
      </c>
      <c r="AR72" s="78">
        <f t="shared" si="21"/>
        <v>3</v>
      </c>
      <c r="AS72" s="78">
        <f t="shared" si="21"/>
        <v>3</v>
      </c>
      <c r="AT72" s="78">
        <f t="shared" si="21"/>
        <v>4</v>
      </c>
      <c r="AU72" s="78">
        <f t="shared" si="21"/>
        <v>0</v>
      </c>
      <c r="AV72" s="78">
        <f t="shared" si="21"/>
        <v>6</v>
      </c>
      <c r="AW72" s="78">
        <f t="shared" si="21"/>
        <v>5</v>
      </c>
      <c r="AX72" s="78">
        <f t="shared" si="21"/>
        <v>5</v>
      </c>
      <c r="AY72" s="78">
        <f t="shared" si="21"/>
        <v>4</v>
      </c>
      <c r="AZ72" s="42" t="s">
        <v>243</v>
      </c>
      <c r="BA72" s="43" t="s">
        <v>243</v>
      </c>
      <c r="BB72" s="43" t="s">
        <v>243</v>
      </c>
      <c r="BC72" s="44" t="s">
        <v>243</v>
      </c>
      <c r="BD72" s="78">
        <f t="shared" ref="BD72:BI72" si="22">COUNTIF(BD1:BD48,"C")*(1)+COUNTIF(BD1:BD48,"C30")*(1)+COUNTIF(BD1:BD48,"C40")*(1)+COUNTIF(BD1:BD48,"C60")*(1)+COUNTIF(BD1:BD48,"VASc")*(1)+COUNTIF(BD1:BD48,"GAC")*(1)+COUNTIF(BD1:BD48,"C-I")*(1)+COUNTIF(BD1:BD48,"PAP")*(2)+COUNTIF(BD38:BD54,"SM")*(1)+COUNTIF(BD1:BD48,"VAS")*(1)+COUNTIF(BD1:BD48,"PR")*(1)+COUNTIF(BD1:BD48,"PE")*(1)+COUNTIF(BD1:BD48,"C10")*(1)+COUNTIF(BD1:BD48,"V1")*(1)+COUNTIF(BD1:BD48,"V2")*(1)+COUNTIF(BD1:BD48,"V3")*(1)+COUNTIF(BD1:BD48,"OPR")*(1)+COUNTIF(BD1:BD48,"CF2V")*(0.5)+COUNTIF(BD1:BD48,"CV2F")*(0.5)+COUNTIF(BD34:BD34,"SM")*(1)</f>
        <v>5</v>
      </c>
      <c r="BE72" s="78">
        <f t="shared" si="22"/>
        <v>5</v>
      </c>
      <c r="BF72" s="78">
        <f t="shared" si="22"/>
        <v>4</v>
      </c>
      <c r="BG72" s="78">
        <f t="shared" si="22"/>
        <v>6</v>
      </c>
      <c r="BH72" s="78">
        <f t="shared" si="22"/>
        <v>0</v>
      </c>
      <c r="BI72" s="78">
        <f t="shared" si="22"/>
        <v>0</v>
      </c>
      <c r="BJ72" s="152"/>
      <c r="BK72" s="152"/>
      <c r="BL72" s="152"/>
      <c r="BM72" s="45"/>
      <c r="BN72" s="45">
        <v>500</v>
      </c>
      <c r="BO72" s="45" t="s">
        <v>289</v>
      </c>
      <c r="BP72" s="45"/>
      <c r="BQ72" s="152"/>
      <c r="BR72" s="152"/>
      <c r="BS72" s="152"/>
      <c r="BT72" s="152"/>
      <c r="BU72" s="152"/>
      <c r="BV72" s="152"/>
      <c r="BW72" s="152"/>
    </row>
    <row r="73" spans="1:75" ht="21" x14ac:dyDescent="0.25">
      <c r="C73" s="152"/>
      <c r="D73" s="152"/>
      <c r="E73" s="46" t="s">
        <v>290</v>
      </c>
      <c r="F73" s="47">
        <f>COUNTIF(F1:F48,"CV")*(1)+COUNTIF(F1:F48,"CV10")*(1)+COUNTIF(F1:F48,"CF2V")*(0.5)+COUNTIF(F1:F48,"CV2F")*(0.5)</f>
        <v>0</v>
      </c>
      <c r="G73" s="47">
        <f>COUNTIF(G1:G48,"CV")*(1)+COUNTIF(G1:G48,"CV10")*(1)+COUNTIF(G1:G48,"CF2V")*(0.5)+COUNTIF(G1:G48,"CV2F")*(0.5)</f>
        <v>0</v>
      </c>
      <c r="H73" s="78">
        <f>COUNTIF(H1:H48,"CV")*(1)+COUNTIF(H1:H48,"CV10")*(1)+COUNTIF(H1:H48,"CF2V")*(0.5)+COUNTIF(H1:H48,"CV2F")*(0.5)</f>
        <v>0</v>
      </c>
      <c r="I73" s="78">
        <f>COUNTIF(I1:I48,"CV")*(1)+COUNTIF(I1:I48,"CV10")*(1)+COUNTIF(I1:I48,"CF2V")*(0.5)+COUNTIF(I1:I48,"CV2F")*(0.5)</f>
        <v>1</v>
      </c>
      <c r="J73" s="42" t="s">
        <v>243</v>
      </c>
      <c r="K73" s="43" t="s">
        <v>243</v>
      </c>
      <c r="L73" s="43" t="s">
        <v>243</v>
      </c>
      <c r="M73" s="44" t="s">
        <v>243</v>
      </c>
      <c r="N73" s="47">
        <f t="shared" ref="N73:W73" si="23">COUNTIF(N1:N48,"CV")*(1)+COUNTIF(N1:N48,"CV10")*(1)+COUNTIF(N1:N48,"CF2V")*(0.5)+COUNTIF(N1:N48,"CV2F")*(0.5)</f>
        <v>0</v>
      </c>
      <c r="O73" s="47">
        <f t="shared" si="23"/>
        <v>0</v>
      </c>
      <c r="P73" s="47">
        <f t="shared" si="23"/>
        <v>2</v>
      </c>
      <c r="Q73" s="47">
        <f t="shared" si="23"/>
        <v>2</v>
      </c>
      <c r="R73" s="47">
        <f t="shared" si="23"/>
        <v>3</v>
      </c>
      <c r="S73" s="47">
        <f t="shared" si="23"/>
        <v>0</v>
      </c>
      <c r="T73" s="47">
        <f t="shared" si="23"/>
        <v>0</v>
      </c>
      <c r="U73" s="47">
        <f t="shared" si="23"/>
        <v>3</v>
      </c>
      <c r="V73" s="47">
        <f t="shared" si="23"/>
        <v>0</v>
      </c>
      <c r="W73" s="47">
        <f t="shared" si="23"/>
        <v>1</v>
      </c>
      <c r="X73" s="42" t="s">
        <v>243</v>
      </c>
      <c r="Y73" s="43" t="s">
        <v>243</v>
      </c>
      <c r="Z73" s="43" t="s">
        <v>243</v>
      </c>
      <c r="AA73" s="44" t="s">
        <v>243</v>
      </c>
      <c r="AB73" s="47">
        <f t="shared" ref="AB73:AK73" si="24">COUNTIF(AB1:AB48,"CV")*(1)+COUNTIF(AB1:AB48,"CV10")*(1)+COUNTIF(AB1:AB48,"CF2V")*(0.5)+COUNTIF(AB1:AB48,"CV2F")*(0.5)</f>
        <v>0</v>
      </c>
      <c r="AC73" s="47">
        <f t="shared" si="24"/>
        <v>1</v>
      </c>
      <c r="AD73" s="47">
        <f t="shared" si="24"/>
        <v>2</v>
      </c>
      <c r="AE73" s="47">
        <f t="shared" si="24"/>
        <v>1</v>
      </c>
      <c r="AF73" s="47">
        <f t="shared" si="24"/>
        <v>1</v>
      </c>
      <c r="AG73" s="47">
        <f t="shared" si="24"/>
        <v>0</v>
      </c>
      <c r="AH73" s="47">
        <f t="shared" si="24"/>
        <v>2</v>
      </c>
      <c r="AI73" s="47">
        <f t="shared" si="24"/>
        <v>3</v>
      </c>
      <c r="AJ73" s="47">
        <f t="shared" si="24"/>
        <v>0</v>
      </c>
      <c r="AK73" s="47">
        <f t="shared" si="24"/>
        <v>0</v>
      </c>
      <c r="AL73" s="42" t="s">
        <v>243</v>
      </c>
      <c r="AM73" s="43" t="s">
        <v>243</v>
      </c>
      <c r="AN73" s="43" t="s">
        <v>243</v>
      </c>
      <c r="AO73" s="44" t="s">
        <v>243</v>
      </c>
      <c r="AP73" s="47">
        <f t="shared" ref="AP73:AY73" si="25">COUNTIF(AP1:AP48,"CV")*(1)+COUNTIF(AP1:AP48,"CV10")*(1)+COUNTIF(AP1:AP48,"CF2V")*(0.5)+COUNTIF(AP1:AP48,"CV2F")*(0.5)</f>
        <v>2</v>
      </c>
      <c r="AQ73" s="47">
        <f t="shared" si="25"/>
        <v>4</v>
      </c>
      <c r="AR73" s="47">
        <f t="shared" si="25"/>
        <v>0</v>
      </c>
      <c r="AS73" s="47">
        <f t="shared" si="25"/>
        <v>2</v>
      </c>
      <c r="AT73" s="47">
        <f t="shared" si="25"/>
        <v>1</v>
      </c>
      <c r="AU73" s="47">
        <f t="shared" si="25"/>
        <v>0</v>
      </c>
      <c r="AV73" s="47">
        <f t="shared" si="25"/>
        <v>1</v>
      </c>
      <c r="AW73" s="47">
        <f t="shared" si="25"/>
        <v>2</v>
      </c>
      <c r="AX73" s="47">
        <f t="shared" si="25"/>
        <v>1</v>
      </c>
      <c r="AY73" s="47">
        <f t="shared" si="25"/>
        <v>2</v>
      </c>
      <c r="AZ73" s="42" t="s">
        <v>243</v>
      </c>
      <c r="BA73" s="43" t="s">
        <v>243</v>
      </c>
      <c r="BB73" s="43" t="s">
        <v>243</v>
      </c>
      <c r="BC73" s="44" t="s">
        <v>243</v>
      </c>
      <c r="BD73" s="47">
        <f t="shared" ref="BD73:BI73" si="26">COUNTIF(BD1:BD48,"CV")*(1)+COUNTIF(BD1:BD48,"CV10")*(1)+COUNTIF(BD1:BD48,"CF2V")*(0.5)+COUNTIF(BD1:BD48,"CV2F")*(0.5)</f>
        <v>0</v>
      </c>
      <c r="BE73" s="47">
        <f t="shared" si="26"/>
        <v>3</v>
      </c>
      <c r="BF73" s="47">
        <f t="shared" si="26"/>
        <v>1</v>
      </c>
      <c r="BG73" s="47">
        <f t="shared" si="26"/>
        <v>3</v>
      </c>
      <c r="BH73" s="47">
        <f t="shared" si="26"/>
        <v>0</v>
      </c>
      <c r="BI73" s="47">
        <f t="shared" si="26"/>
        <v>0</v>
      </c>
      <c r="BJ73" s="152"/>
      <c r="BK73" s="152"/>
      <c r="BL73" s="152"/>
      <c r="BM73" s="45"/>
      <c r="BN73" s="45">
        <v>2000</v>
      </c>
      <c r="BO73" s="45" t="s">
        <v>291</v>
      </c>
      <c r="BP73" s="45"/>
      <c r="BQ73" s="45"/>
      <c r="BR73" s="152"/>
      <c r="BS73" s="152"/>
      <c r="BT73" s="152"/>
      <c r="BU73" s="152"/>
      <c r="BV73" s="152"/>
      <c r="BW73" s="152"/>
    </row>
    <row r="74" spans="1:75" ht="21" x14ac:dyDescent="0.25">
      <c r="C74" s="152"/>
      <c r="D74" s="152"/>
      <c r="E74" s="46" t="s">
        <v>292</v>
      </c>
      <c r="F74" s="47">
        <f>COUNTIF(F19:F24,"C")*(1)+COUNTIF(F19:F24,"C30")*(1)+COUNTIF(F19:F24,"C40")*(1)+COUNTIF(F19:F24,"C60")*(1)+COUNTIF(F19:F24,"OMT")*(1)+COUNTIF(F19:F24,"V1")*(1)+COUNTIF(F45:F48,"C")*(1)+COUNTIF(F45:F48,"C30")*(1)+COUNTIF(F45:F48,"C40")*(1)+COUNTIF(F45:F48,"C60")*(1)+COUNTIF(F45:F48,"OMT")*(1)</f>
        <v>1</v>
      </c>
      <c r="G74" s="47">
        <f>COUNTIF(G19:G24,"C")*(1)+COUNTIF(G19:G24,"C30")*(1)+COUNTIF(G19:G24,"C40")*(1)+COUNTIF(G19:G24,"C60")*(1)+COUNTIF(G19:G24,"OMT")*(1)+COUNTIF(G19:G24,"V1")*(1)+COUNTIF(G45:G48,"C")*(1)+COUNTIF(G45:G48,"C30")*(1)+COUNTIF(G45:G48,"C40")*(1)+COUNTIF(G45:G48,"C60")*(1)+COUNTIF(G45:G48,"OMT")*(1)</f>
        <v>0</v>
      </c>
      <c r="H74" s="78">
        <f>COUNTIF(H19:H24,"C")*(1)+COUNTIF(H19:H24,"C30")*(1)+COUNTIF(H19:H24,"C40")*(1)+COUNTIF(H19:H24,"C60")*(1)+COUNTIF(H19:H24,"OMT")*(1)+COUNTIF(H19:H24,"V1")*(1)+COUNTIF(H45:H48,"C")*(1)+COUNTIF(H45:H48,"C30")*(1)+COUNTIF(H45:H48,"C40")*(1)+COUNTIF(H45:H48,"C60")*(1)+COUNTIF(H45:H48,"OMT")*(1)</f>
        <v>0</v>
      </c>
      <c r="I74" s="78">
        <f>COUNTIF(I19:I24,"C")*(1)+COUNTIF(I19:I24,"C30")*(1)+COUNTIF(I19:I24,"C40")*(1)+COUNTIF(I19:I24,"C60")*(1)+COUNTIF(I19:I24,"OMT")*(1)+COUNTIF(I19:I24,"V1")*(1)+COUNTIF(I45:I48,"C")*(1)+COUNTIF(I45:I48,"C30")*(1)+COUNTIF(I45:I48,"C40")*(1)+COUNTIF(I45:I48,"C60")*(1)+COUNTIF(I45:I48,"OMT")*(1)</f>
        <v>0</v>
      </c>
      <c r="J74" s="42" t="s">
        <v>243</v>
      </c>
      <c r="K74" s="43" t="s">
        <v>243</v>
      </c>
      <c r="L74" s="43" t="s">
        <v>243</v>
      </c>
      <c r="M74" s="44" t="s">
        <v>243</v>
      </c>
      <c r="N74" s="47">
        <f t="shared" ref="N74:W74" si="27">COUNTIF(N19:N24,"C")*(1)+COUNTIF(N19:N24,"C30")*(1)+COUNTIF(N19:N24,"C40")*(1)+COUNTIF(N19:N24,"C60")*(1)+COUNTIF(N19:N24,"OMT")*(1)+COUNTIF(N19:N24,"V1")*(1)+COUNTIF(N45:N48,"C")*(1)+COUNTIF(N45:N48,"C30")*(1)+COUNTIF(N45:N48,"C40")*(1)+COUNTIF(N45:N48,"C60")*(1)+COUNTIF(N45:N48,"OMT")*(1)</f>
        <v>0</v>
      </c>
      <c r="O74" s="47">
        <f t="shared" si="27"/>
        <v>0</v>
      </c>
      <c r="P74" s="47">
        <f t="shared" si="27"/>
        <v>0</v>
      </c>
      <c r="Q74" s="47">
        <f t="shared" si="27"/>
        <v>1</v>
      </c>
      <c r="R74" s="47">
        <f>COUNTIF(R19:R24,"C")*(1)+COUNTIF(R19:R24,"C30")*(1)+COUNTIF(R19:R24,"C40")*(1)+COUNTIF(R19:R24,"C60")*(1)+COUNTIF(R19:R24,"OMT")*(1)+COUNTIF(R19:R24,"V1")*(1)+COUNTIF(R45:R48,"C")*(1)+COUNTIF(R45:R48,"C30")*(1)+COUNTIF(R45:R48,"C40")*(1)+COUNTIF(R45:R48,"C60")*(1)+COUNTIF(R45:R48,"OMT")*(1)</f>
        <v>3</v>
      </c>
      <c r="S74" s="47">
        <f t="shared" si="27"/>
        <v>0</v>
      </c>
      <c r="T74" s="47">
        <f t="shared" si="27"/>
        <v>0</v>
      </c>
      <c r="U74" s="47">
        <f t="shared" si="27"/>
        <v>0</v>
      </c>
      <c r="V74" s="47">
        <f t="shared" si="27"/>
        <v>0</v>
      </c>
      <c r="W74" s="47">
        <f t="shared" si="27"/>
        <v>1</v>
      </c>
      <c r="X74" s="42" t="s">
        <v>243</v>
      </c>
      <c r="Y74" s="43" t="s">
        <v>243</v>
      </c>
      <c r="Z74" s="43" t="s">
        <v>243</v>
      </c>
      <c r="AA74" s="44" t="s">
        <v>243</v>
      </c>
      <c r="AB74" s="47">
        <f t="shared" ref="AB74:AK74" si="28">COUNTIF(AB19:AB24,"C")*(1)+COUNTIF(AB19:AB24,"C30")*(1)+COUNTIF(AB19:AB24,"C40")*(1)+COUNTIF(AB19:AB24,"C60")*(1)+COUNTIF(AB19:AB24,"OMT")*(1)+COUNTIF(AB19:AB24,"V1")*(1)+COUNTIF(AB45:AB48,"C")*(1)+COUNTIF(AB45:AB48,"C30")*(1)+COUNTIF(AB45:AB48,"C40")*(1)+COUNTIF(AB45:AB48,"C60")*(1)+COUNTIF(AB45:AB48,"OMT")*(1)</f>
        <v>0</v>
      </c>
      <c r="AC74" s="47">
        <f t="shared" si="28"/>
        <v>2</v>
      </c>
      <c r="AD74" s="47">
        <f t="shared" si="28"/>
        <v>0</v>
      </c>
      <c r="AE74" s="47">
        <f t="shared" si="28"/>
        <v>1</v>
      </c>
      <c r="AF74" s="47">
        <f t="shared" si="28"/>
        <v>3</v>
      </c>
      <c r="AG74" s="47">
        <f t="shared" si="28"/>
        <v>0</v>
      </c>
      <c r="AH74" s="47">
        <f t="shared" si="28"/>
        <v>0</v>
      </c>
      <c r="AI74" s="47">
        <f t="shared" si="28"/>
        <v>0</v>
      </c>
      <c r="AJ74" s="47">
        <f t="shared" si="28"/>
        <v>1</v>
      </c>
      <c r="AK74" s="47">
        <f t="shared" si="28"/>
        <v>1</v>
      </c>
      <c r="AL74" s="42" t="s">
        <v>243</v>
      </c>
      <c r="AM74" s="43" t="s">
        <v>243</v>
      </c>
      <c r="AN74" s="43" t="s">
        <v>243</v>
      </c>
      <c r="AO74" s="44" t="s">
        <v>243</v>
      </c>
      <c r="AP74" s="47">
        <f t="shared" ref="AP74:AY74" si="29">COUNTIF(AP19:AP24,"C")*(1)+COUNTIF(AP19:AP24,"C30")*(1)+COUNTIF(AP19:AP24,"C40")*(1)+COUNTIF(AP19:AP24,"C60")*(1)+COUNTIF(AP19:AP24,"OMT")*(1)+COUNTIF(AP19:AP24,"V1")*(1)+COUNTIF(AP45:AP48,"C")*(1)+COUNTIF(AP45:AP48,"C30")*(1)+COUNTIF(AP45:AP48,"C40")*(1)+COUNTIF(AP45:AP48,"C60")*(1)+COUNTIF(AP45:AP48,"OMT")*(1)</f>
        <v>2</v>
      </c>
      <c r="AQ74" s="47">
        <f>COUNTIF(AQ19:AQ24,"C")*(1)+COUNTIF(AQ19:AQ24,"C30")*(1)+COUNTIF(AQ19:AQ24,"C40")*(1)+COUNTIF(AQ19:AQ24,"C60")*(1)+COUNTIF(AQ19:AQ24,"OMT")*(1)+COUNTIF(AQ19:AQ24,"V1")*(1)+COUNTIF(AQ45:AQ48,"C")*(1)+COUNTIF(AQ45:AQ48,"C30")*(1)+COUNTIF(AQ45:AQ48,"C40")*(1)+COUNTIF(AQ45:AQ48,"C60")*(1)+COUNTIF(AQ45:AQ48,"OMT")*(1)</f>
        <v>1</v>
      </c>
      <c r="AR74" s="47">
        <f t="shared" si="29"/>
        <v>0</v>
      </c>
      <c r="AS74" s="47">
        <f t="shared" si="29"/>
        <v>1</v>
      </c>
      <c r="AT74" s="47">
        <f t="shared" si="29"/>
        <v>3</v>
      </c>
      <c r="AU74" s="47">
        <f t="shared" si="29"/>
        <v>0</v>
      </c>
      <c r="AV74" s="47">
        <f t="shared" si="29"/>
        <v>0</v>
      </c>
      <c r="AW74" s="47">
        <f t="shared" si="29"/>
        <v>1</v>
      </c>
      <c r="AX74" s="47">
        <f t="shared" si="29"/>
        <v>1</v>
      </c>
      <c r="AY74" s="47">
        <f t="shared" si="29"/>
        <v>1</v>
      </c>
      <c r="AZ74" s="42" t="s">
        <v>243</v>
      </c>
      <c r="BA74" s="43" t="s">
        <v>243</v>
      </c>
      <c r="BB74" s="43" t="s">
        <v>243</v>
      </c>
      <c r="BC74" s="44" t="s">
        <v>243</v>
      </c>
      <c r="BD74" s="47">
        <f t="shared" ref="BD74:BI74" si="30">COUNTIF(BD19:BD24,"C")*(1)+COUNTIF(BD19:BD24,"C30")*(1)+COUNTIF(BD19:BD24,"C40")*(1)+COUNTIF(BD19:BD24,"C60")*(1)+COUNTIF(BD19:BD24,"OMT")*(1)+COUNTIF(BD19:BD24,"V1")*(1)+COUNTIF(BD45:BD48,"C")*(1)+COUNTIF(BD45:BD48,"C30")*(1)+COUNTIF(BD45:BD48,"C40")*(1)+COUNTIF(BD45:BD48,"C60")*(1)+COUNTIF(BD45:BD48,"OMT")*(1)</f>
        <v>0</v>
      </c>
      <c r="BE74" s="47">
        <f>COUNTIF(BE19:BE24,"C")*(1)+COUNTIF(BE19:BE24,"C30")*(1)+COUNTIF(BE19:BE24,"C40")*(1)+COUNTIF(BE19:BE24,"C60")*(1)+COUNTIF(BE19:BE24,"OMT")*(1)+COUNTIF(BE19:BE24,"V1")*(1)+COUNTIF(BE45:BE48,"C")*(1)+COUNTIF(BE45:BE48,"C30")*(1)+COUNTIF(BE45:BE48,"C40")*(1)+COUNTIF(BE45:BE48,"C60")*(1)+COUNTIF(BE45:BE48,"OMT")*(1)</f>
        <v>2</v>
      </c>
      <c r="BF74" s="47">
        <f t="shared" si="30"/>
        <v>0</v>
      </c>
      <c r="BG74" s="47">
        <f t="shared" si="30"/>
        <v>2</v>
      </c>
      <c r="BH74" s="47">
        <f t="shared" si="30"/>
        <v>0</v>
      </c>
      <c r="BI74" s="47">
        <f t="shared" si="30"/>
        <v>0</v>
      </c>
      <c r="BJ74" s="152"/>
      <c r="BK74" s="152"/>
      <c r="BL74" s="152"/>
      <c r="BM74" s="45"/>
      <c r="BN74" s="45">
        <v>100</v>
      </c>
      <c r="BO74" s="45" t="s">
        <v>293</v>
      </c>
      <c r="BP74" s="45"/>
      <c r="BQ74" s="152"/>
      <c r="BR74" s="152"/>
      <c r="BS74" s="152"/>
      <c r="BT74" s="152"/>
      <c r="BU74" s="152"/>
      <c r="BV74" s="152"/>
      <c r="BW74" s="152"/>
    </row>
    <row r="75" spans="1:75" ht="21" x14ac:dyDescent="0.25">
      <c r="C75" s="152"/>
      <c r="D75" s="152"/>
      <c r="E75" s="46" t="s">
        <v>294</v>
      </c>
      <c r="F75" s="47">
        <f>COUNTIF(F1:F18,"C")*(1)+COUNTIF(F1:F18,"C30")*(1)+COUNTIF(F1:F18,"C40")*(1)+COUNTIF(F1:F18,"C60")*(1)+COUNTIF(F1:F18,"VASc")*(1)+COUNTIF(F1:F18,"GAC")*(1)+COUNTIF(F1:F18,"OMT")*(1)+COUNTIF(F1:F18,"C-I")*(1)+COUNTIF(F1:F18,"PAP")*(1)+COUNTIF(F1:F18,"CV")*(1)</f>
        <v>1</v>
      </c>
      <c r="G75" s="47">
        <f>COUNTIF(G1:G18,"C")*(1)+COUNTIF(G1:G18,"C30")*(1)+COUNTIF(G1:G18,"C40")*(1)+COUNTIF(G1:G18,"C60")*(1)+COUNTIF(G1:G18,"VASc")*(1)+COUNTIF(G1:G18,"GAC")*(1)+COUNTIF(G1:G18,"OMT")*(1)+COUNTIF(G1:G18,"C-I")*(1)+COUNTIF(G1:G18,"PAP")*(1)+COUNTIF(G1:G18,"CV")*(1)</f>
        <v>2</v>
      </c>
      <c r="H75" s="78">
        <f>COUNTIF(H1:H18,"C")*(1)+COUNTIF(H1:H18,"C30")*(1)+COUNTIF(H1:H18,"C40")*(1)+COUNTIF(H1:H18,"C60")*(1)+COUNTIF(H1:H18,"VASc")*(1)+COUNTIF(H1:H18,"GAC")*(1)+COUNTIF(H1:H18,"OMT")*(1)+COUNTIF(H1:H18,"C-I")*(1)+COUNTIF(H1:H18,"PAP")*(1)+COUNTIF(H1:H18,"CV")*(1)</f>
        <v>2</v>
      </c>
      <c r="I75" s="78">
        <f>COUNTIF(I1:I18,"C")*(1)+COUNTIF(I1:I18,"C30")*(1)+COUNTIF(I1:I18,"C40")*(1)+COUNTIF(I1:I18,"C60")*(1)+COUNTIF(I1:I18,"VASc")*(1)+COUNTIF(I1:I18,"GAC")*(1)+COUNTIF(I1:I18,"OMT")*(1)+COUNTIF(I1:I18,"C-I")*(1)+COUNTIF(I1:I18,"PAP")*(1)+COUNTIF(I1:I18,"CV")*(1)</f>
        <v>5</v>
      </c>
      <c r="J75" s="42" t="s">
        <v>243</v>
      </c>
      <c r="K75" s="43" t="s">
        <v>243</v>
      </c>
      <c r="L75" s="43" t="s">
        <v>243</v>
      </c>
      <c r="M75" s="44" t="s">
        <v>243</v>
      </c>
      <c r="N75" s="47">
        <f t="shared" ref="N75:W75" si="31">COUNTIF(N1:N18,"C")*(1)+COUNTIF(N1:N18,"C30")*(1)+COUNTIF(N1:N18,"C40")*(1)+COUNTIF(N1:N18,"C60")*(1)+COUNTIF(N1:N18,"VASc")*(1)+COUNTIF(N1:N18,"GAC")*(1)+COUNTIF(N1:N18,"OMT")*(1)+COUNTIF(N1:N18,"C-I")*(1)+COUNTIF(N1:N18,"PAP")*(1)+COUNTIF(N1:N18,"CV")*(1)</f>
        <v>0</v>
      </c>
      <c r="O75" s="47">
        <f t="shared" si="31"/>
        <v>0</v>
      </c>
      <c r="P75" s="47">
        <f t="shared" si="31"/>
        <v>3</v>
      </c>
      <c r="Q75" s="47">
        <f t="shared" si="31"/>
        <v>1</v>
      </c>
      <c r="R75" s="47">
        <f t="shared" si="31"/>
        <v>1</v>
      </c>
      <c r="S75" s="47">
        <f t="shared" si="31"/>
        <v>0</v>
      </c>
      <c r="T75" s="47">
        <f t="shared" si="31"/>
        <v>2</v>
      </c>
      <c r="U75" s="47">
        <f t="shared" si="31"/>
        <v>2</v>
      </c>
      <c r="V75" s="47">
        <f t="shared" si="31"/>
        <v>1</v>
      </c>
      <c r="W75" s="47">
        <f t="shared" si="31"/>
        <v>4</v>
      </c>
      <c r="X75" s="42" t="s">
        <v>243</v>
      </c>
      <c r="Y75" s="43" t="s">
        <v>243</v>
      </c>
      <c r="Z75" s="43" t="s">
        <v>243</v>
      </c>
      <c r="AA75" s="44" t="s">
        <v>243</v>
      </c>
      <c r="AB75" s="47">
        <f t="shared" ref="AB75:AK75" si="32">COUNTIF(AB1:AB18,"C")*(1)+COUNTIF(AB1:AB18,"C30")*(1)+COUNTIF(AB1:AB18,"C40")*(1)+COUNTIF(AB1:AB18,"C60")*(1)+COUNTIF(AB1:AB18,"VASc")*(1)+COUNTIF(AB1:AB18,"GAC")*(1)+COUNTIF(AB1:AB18,"OMT")*(1)+COUNTIF(AB1:AB18,"C-I")*(1)+COUNTIF(AB1:AB18,"PAP")*(1)+COUNTIF(AB1:AB18,"CV")*(1)</f>
        <v>1</v>
      </c>
      <c r="AC75" s="47">
        <f t="shared" si="32"/>
        <v>1</v>
      </c>
      <c r="AD75" s="47">
        <f t="shared" si="32"/>
        <v>0</v>
      </c>
      <c r="AE75" s="47">
        <f t="shared" si="32"/>
        <v>2</v>
      </c>
      <c r="AF75" s="47">
        <f t="shared" si="32"/>
        <v>1</v>
      </c>
      <c r="AG75" s="47">
        <f t="shared" si="32"/>
        <v>0</v>
      </c>
      <c r="AH75" s="47">
        <f t="shared" si="32"/>
        <v>3</v>
      </c>
      <c r="AI75" s="47">
        <f t="shared" si="32"/>
        <v>2</v>
      </c>
      <c r="AJ75" s="47">
        <f t="shared" si="32"/>
        <v>0</v>
      </c>
      <c r="AK75" s="47">
        <f t="shared" si="32"/>
        <v>3</v>
      </c>
      <c r="AL75" s="42" t="s">
        <v>243</v>
      </c>
      <c r="AM75" s="43" t="s">
        <v>243</v>
      </c>
      <c r="AN75" s="43" t="s">
        <v>243</v>
      </c>
      <c r="AO75" s="44" t="s">
        <v>243</v>
      </c>
      <c r="AP75" s="47">
        <f t="shared" ref="AP75:AY75" si="33">COUNTIF(AP1:AP18,"C")*(1)+COUNTIF(AP1:AP18,"C30")*(1)+COUNTIF(AP1:AP18,"C40")*(1)+COUNTIF(AP1:AP18,"C60")*(1)+COUNTIF(AP1:AP18,"VASc")*(1)+COUNTIF(AP1:AP18,"GAC")*(1)+COUNTIF(AP1:AP18,"OMT")*(1)+COUNTIF(AP1:AP18,"C-I")*(1)+COUNTIF(AP1:AP18,"PAP")*(1)+COUNTIF(AP1:AP18,"CV")*(1)</f>
        <v>3</v>
      </c>
      <c r="AQ75" s="47">
        <f t="shared" si="33"/>
        <v>2</v>
      </c>
      <c r="AR75" s="47">
        <f t="shared" si="33"/>
        <v>2</v>
      </c>
      <c r="AS75" s="47">
        <f t="shared" si="33"/>
        <v>2</v>
      </c>
      <c r="AT75" s="47">
        <f t="shared" si="33"/>
        <v>1</v>
      </c>
      <c r="AU75" s="47">
        <f t="shared" si="33"/>
        <v>0</v>
      </c>
      <c r="AV75" s="47">
        <f t="shared" si="33"/>
        <v>4</v>
      </c>
      <c r="AW75" s="47">
        <f t="shared" si="33"/>
        <v>2</v>
      </c>
      <c r="AX75" s="47">
        <f t="shared" si="33"/>
        <v>1</v>
      </c>
      <c r="AY75" s="47">
        <f t="shared" si="33"/>
        <v>4</v>
      </c>
      <c r="AZ75" s="42" t="s">
        <v>243</v>
      </c>
      <c r="BA75" s="43" t="s">
        <v>243</v>
      </c>
      <c r="BB75" s="43" t="s">
        <v>243</v>
      </c>
      <c r="BC75" s="44" t="s">
        <v>243</v>
      </c>
      <c r="BD75" s="47">
        <f t="shared" ref="BD75:BI75" si="34">COUNTIF(BD1:BD18,"C")*(1)+COUNTIF(BD1:BD18,"C30")*(1)+COUNTIF(BD1:BD18,"C40")*(1)+COUNTIF(BD1:BD18,"C60")*(1)+COUNTIF(BD1:BD18,"VASc")*(1)+COUNTIF(BD1:BD18,"GAC")*(1)+COUNTIF(BD1:BD18,"OMT")*(1)+COUNTIF(BD1:BD18,"C-I")*(1)+COUNTIF(BD1:BD18,"PAP")*(1)+COUNTIF(BD1:BD18,"CV")*(1)</f>
        <v>2</v>
      </c>
      <c r="BE75" s="47">
        <f t="shared" si="34"/>
        <v>2</v>
      </c>
      <c r="BF75" s="47">
        <f t="shared" si="34"/>
        <v>0</v>
      </c>
      <c r="BG75" s="47">
        <f t="shared" si="34"/>
        <v>4</v>
      </c>
      <c r="BH75" s="47">
        <f t="shared" si="34"/>
        <v>0</v>
      </c>
      <c r="BI75" s="47">
        <f t="shared" si="34"/>
        <v>0</v>
      </c>
      <c r="BJ75" s="152"/>
      <c r="BK75" s="152"/>
      <c r="BL75" s="152"/>
      <c r="BM75" s="45"/>
      <c r="BN75" s="45">
        <v>18.5</v>
      </c>
      <c r="BO75" s="45" t="s">
        <v>295</v>
      </c>
      <c r="BP75" s="45"/>
      <c r="BQ75" s="45"/>
      <c r="BR75" s="45"/>
      <c r="BS75" s="45"/>
      <c r="BT75" s="152"/>
      <c r="BU75" s="152"/>
      <c r="BV75" s="152"/>
      <c r="BW75" s="152"/>
    </row>
    <row r="76" spans="1:75" ht="21" x14ac:dyDescent="0.25">
      <c r="C76" s="152"/>
      <c r="D76" s="152"/>
      <c r="E76" s="46" t="s">
        <v>296</v>
      </c>
      <c r="F76" s="47">
        <f>F74*0.5 + F75*0.25</f>
        <v>0.75</v>
      </c>
      <c r="G76" s="47">
        <f>G74*0.5 + G75*0.25</f>
        <v>0.5</v>
      </c>
      <c r="H76" s="47">
        <f t="shared" ref="H76:BI76" si="35">H74*0.5 + H75*0.25</f>
        <v>0.5</v>
      </c>
      <c r="I76" s="47">
        <f t="shared" si="35"/>
        <v>1.25</v>
      </c>
      <c r="J76" s="42" t="s">
        <v>243</v>
      </c>
      <c r="K76" s="43" t="s">
        <v>243</v>
      </c>
      <c r="L76" s="43" t="s">
        <v>243</v>
      </c>
      <c r="M76" s="44" t="s">
        <v>243</v>
      </c>
      <c r="N76" s="47">
        <f t="shared" si="35"/>
        <v>0</v>
      </c>
      <c r="O76" s="47">
        <f t="shared" si="35"/>
        <v>0</v>
      </c>
      <c r="P76" s="47">
        <f t="shared" si="35"/>
        <v>0.75</v>
      </c>
      <c r="Q76" s="47">
        <f t="shared" si="35"/>
        <v>0.75</v>
      </c>
      <c r="R76" s="47">
        <f t="shared" si="35"/>
        <v>1.75</v>
      </c>
      <c r="S76" s="47">
        <f t="shared" si="35"/>
        <v>0</v>
      </c>
      <c r="T76" s="47">
        <f t="shared" si="35"/>
        <v>0.5</v>
      </c>
      <c r="U76" s="47">
        <f t="shared" si="35"/>
        <v>0.5</v>
      </c>
      <c r="V76" s="47">
        <f t="shared" si="35"/>
        <v>0.25</v>
      </c>
      <c r="W76" s="47">
        <f t="shared" si="35"/>
        <v>1.5</v>
      </c>
      <c r="X76" s="42" t="s">
        <v>243</v>
      </c>
      <c r="Y76" s="43" t="s">
        <v>243</v>
      </c>
      <c r="Z76" s="43" t="s">
        <v>243</v>
      </c>
      <c r="AA76" s="44" t="s">
        <v>243</v>
      </c>
      <c r="AB76" s="47">
        <f t="shared" si="35"/>
        <v>0.25</v>
      </c>
      <c r="AC76" s="47">
        <f t="shared" si="35"/>
        <v>1.25</v>
      </c>
      <c r="AD76" s="47">
        <f t="shared" si="35"/>
        <v>0</v>
      </c>
      <c r="AE76" s="47">
        <f t="shared" si="35"/>
        <v>1</v>
      </c>
      <c r="AF76" s="47">
        <f t="shared" si="35"/>
        <v>1.75</v>
      </c>
      <c r="AG76" s="47">
        <f t="shared" si="35"/>
        <v>0</v>
      </c>
      <c r="AH76" s="47">
        <f t="shared" si="35"/>
        <v>0.75</v>
      </c>
      <c r="AI76" s="47">
        <f t="shared" si="35"/>
        <v>0.5</v>
      </c>
      <c r="AJ76" s="47">
        <f t="shared" si="35"/>
        <v>0.5</v>
      </c>
      <c r="AK76" s="47">
        <f t="shared" si="35"/>
        <v>1.25</v>
      </c>
      <c r="AL76" s="42" t="s">
        <v>243</v>
      </c>
      <c r="AM76" s="43" t="s">
        <v>243</v>
      </c>
      <c r="AN76" s="43" t="s">
        <v>243</v>
      </c>
      <c r="AO76" s="44" t="s">
        <v>243</v>
      </c>
      <c r="AP76" s="47">
        <f t="shared" si="35"/>
        <v>1.75</v>
      </c>
      <c r="AQ76" s="47">
        <f t="shared" si="35"/>
        <v>1</v>
      </c>
      <c r="AR76" s="47">
        <f t="shared" si="35"/>
        <v>0.5</v>
      </c>
      <c r="AS76" s="47">
        <f t="shared" si="35"/>
        <v>1</v>
      </c>
      <c r="AT76" s="47">
        <f t="shared" si="35"/>
        <v>1.75</v>
      </c>
      <c r="AU76" s="47">
        <f t="shared" si="35"/>
        <v>0</v>
      </c>
      <c r="AV76" s="47">
        <f t="shared" si="35"/>
        <v>1</v>
      </c>
      <c r="AW76" s="47">
        <f t="shared" si="35"/>
        <v>1</v>
      </c>
      <c r="AX76" s="47">
        <f t="shared" si="35"/>
        <v>0.75</v>
      </c>
      <c r="AY76" s="47">
        <f t="shared" si="35"/>
        <v>1.5</v>
      </c>
      <c r="AZ76" s="42" t="s">
        <v>243</v>
      </c>
      <c r="BA76" s="43" t="s">
        <v>243</v>
      </c>
      <c r="BB76" s="43" t="s">
        <v>243</v>
      </c>
      <c r="BC76" s="44" t="s">
        <v>243</v>
      </c>
      <c r="BD76" s="47">
        <f t="shared" si="35"/>
        <v>0.5</v>
      </c>
      <c r="BE76" s="47">
        <f t="shared" si="35"/>
        <v>1.5</v>
      </c>
      <c r="BF76" s="47">
        <f t="shared" si="35"/>
        <v>0</v>
      </c>
      <c r="BG76" s="47">
        <f t="shared" si="35"/>
        <v>2</v>
      </c>
      <c r="BH76" s="47">
        <f t="shared" si="35"/>
        <v>0</v>
      </c>
      <c r="BI76" s="47">
        <f t="shared" si="35"/>
        <v>0</v>
      </c>
      <c r="BJ76" s="152"/>
      <c r="BK76" s="152"/>
      <c r="BL76" s="152"/>
      <c r="BM76" s="45"/>
      <c r="BN76" s="45">
        <v>1850</v>
      </c>
      <c r="BO76" s="45" t="s">
        <v>297</v>
      </c>
      <c r="BP76" s="45"/>
      <c r="BQ76" s="45"/>
      <c r="BR76" s="45"/>
      <c r="BS76" s="45"/>
      <c r="BT76" s="45"/>
      <c r="BU76" s="45"/>
      <c r="BV76" s="152"/>
      <c r="BW76" s="152"/>
    </row>
    <row r="77" spans="1:75" ht="21" x14ac:dyDescent="0.25">
      <c r="C77" s="152"/>
      <c r="D77" s="152"/>
      <c r="E77" s="46" t="s">
        <v>298</v>
      </c>
      <c r="F77" s="47">
        <v>0</v>
      </c>
      <c r="G77" s="47">
        <f>COUNTIF(G1:G24,"VAS")*(1)+COUNTIF(G1:G24,"PR")*(1)+COUNTIF(G1:G24,"OPR")*(1)</f>
        <v>0</v>
      </c>
      <c r="H77" s="78">
        <f>COUNTIF(H1:H24,"VAS")*(1)+COUNTIF(H1:H24,"PR")*(1)+COUNTIF(H1:H24,"OPR")*(1)</f>
        <v>0</v>
      </c>
      <c r="I77" s="78">
        <f>COUNTIF(I1:I24,"VAS")*(1)+COUNTIF(I1:I24,"PR")*(1)+COUNTIF(I1:I24,"OPR")*(1)</f>
        <v>0</v>
      </c>
      <c r="J77" s="42" t="s">
        <v>243</v>
      </c>
      <c r="K77" s="43" t="s">
        <v>243</v>
      </c>
      <c r="L77" s="43" t="s">
        <v>243</v>
      </c>
      <c r="M77" s="44" t="s">
        <v>243</v>
      </c>
      <c r="N77" s="47">
        <f t="shared" ref="N77:W77" si="36">COUNTIF(N1:N24,"VAS")*(1)+COUNTIF(N1:N24,"PR")*(1)+COUNTIF(N1:N24,"OPR")*(1)</f>
        <v>0</v>
      </c>
      <c r="O77" s="47">
        <f t="shared" si="36"/>
        <v>0</v>
      </c>
      <c r="P77" s="47">
        <f t="shared" si="36"/>
        <v>1</v>
      </c>
      <c r="Q77" s="47">
        <f t="shared" si="36"/>
        <v>1</v>
      </c>
      <c r="R77" s="47">
        <f>COUNTIF(R1:R24,"VAS")*(1)+COUNTIF(R1:R24,"PR")*(1)+COUNTIF(R1:R24,"OPR")*(1)</f>
        <v>1</v>
      </c>
      <c r="S77" s="47">
        <f t="shared" si="36"/>
        <v>0</v>
      </c>
      <c r="T77" s="47">
        <f t="shared" si="36"/>
        <v>2</v>
      </c>
      <c r="U77" s="47">
        <f t="shared" si="36"/>
        <v>0</v>
      </c>
      <c r="V77" s="47">
        <f t="shared" si="36"/>
        <v>1</v>
      </c>
      <c r="W77" s="47">
        <f t="shared" si="36"/>
        <v>0</v>
      </c>
      <c r="X77" s="42" t="s">
        <v>243</v>
      </c>
      <c r="Y77" s="43" t="s">
        <v>243</v>
      </c>
      <c r="Z77" s="43" t="s">
        <v>243</v>
      </c>
      <c r="AA77" s="44" t="s">
        <v>243</v>
      </c>
      <c r="AB77" s="47">
        <f t="shared" ref="AB77:AK77" si="37">COUNTIF(AB1:AB24,"VAS")*(1)+COUNTIF(AB1:AB24,"PR")*(1)+COUNTIF(AB1:AB24,"OPR")*(1)</f>
        <v>1</v>
      </c>
      <c r="AC77" s="47">
        <f t="shared" si="37"/>
        <v>1</v>
      </c>
      <c r="AD77" s="47">
        <f t="shared" si="37"/>
        <v>1</v>
      </c>
      <c r="AE77" s="47">
        <f t="shared" si="37"/>
        <v>1</v>
      </c>
      <c r="AF77" s="47">
        <f t="shared" si="37"/>
        <v>1</v>
      </c>
      <c r="AG77" s="47">
        <f t="shared" si="37"/>
        <v>0</v>
      </c>
      <c r="AH77" s="47">
        <f t="shared" si="37"/>
        <v>1</v>
      </c>
      <c r="AI77" s="47">
        <f t="shared" si="37"/>
        <v>0</v>
      </c>
      <c r="AJ77" s="47">
        <f t="shared" si="37"/>
        <v>1</v>
      </c>
      <c r="AK77" s="47">
        <f t="shared" si="37"/>
        <v>0</v>
      </c>
      <c r="AL77" s="42" t="s">
        <v>243</v>
      </c>
      <c r="AM77" s="43" t="s">
        <v>243</v>
      </c>
      <c r="AN77" s="43" t="s">
        <v>243</v>
      </c>
      <c r="AO77" s="44" t="s">
        <v>243</v>
      </c>
      <c r="AP77" s="47">
        <f t="shared" ref="AP77:AY77" si="38">COUNTIF(AP1:AP24,"VAS")*(1)+COUNTIF(AP1:AP24,"PR")*(1)+COUNTIF(AP1:AP24,"OPR")*(1)</f>
        <v>1</v>
      </c>
      <c r="AQ77" s="47">
        <f t="shared" si="38"/>
        <v>1</v>
      </c>
      <c r="AR77" s="47">
        <f t="shared" si="38"/>
        <v>1</v>
      </c>
      <c r="AS77" s="47">
        <f t="shared" si="38"/>
        <v>1</v>
      </c>
      <c r="AT77" s="47">
        <f t="shared" si="38"/>
        <v>0</v>
      </c>
      <c r="AU77" s="47">
        <f t="shared" si="38"/>
        <v>0</v>
      </c>
      <c r="AV77" s="47">
        <f t="shared" si="38"/>
        <v>1</v>
      </c>
      <c r="AW77" s="47">
        <f t="shared" si="38"/>
        <v>1</v>
      </c>
      <c r="AX77" s="47">
        <f t="shared" si="38"/>
        <v>1</v>
      </c>
      <c r="AY77" s="47">
        <f t="shared" si="38"/>
        <v>0</v>
      </c>
      <c r="AZ77" s="42" t="s">
        <v>243</v>
      </c>
      <c r="BA77" s="43" t="s">
        <v>243</v>
      </c>
      <c r="BB77" s="43" t="s">
        <v>243</v>
      </c>
      <c r="BC77" s="44" t="s">
        <v>243</v>
      </c>
      <c r="BD77" s="47">
        <f t="shared" ref="BD77:BI77" si="39">COUNTIF(BD1:BD24,"VAS")*(1)+COUNTIF(BD1:BD24,"PR")*(1)+COUNTIF(BD1:BD24,"OPR")*(1)</f>
        <v>1</v>
      </c>
      <c r="BE77" s="47">
        <f t="shared" si="39"/>
        <v>1</v>
      </c>
      <c r="BF77" s="47">
        <f t="shared" si="39"/>
        <v>1</v>
      </c>
      <c r="BG77" s="47">
        <f t="shared" si="39"/>
        <v>0</v>
      </c>
      <c r="BH77" s="47">
        <f t="shared" si="39"/>
        <v>0</v>
      </c>
      <c r="BI77" s="47">
        <f t="shared" si="39"/>
        <v>0</v>
      </c>
      <c r="BJ77" s="152"/>
      <c r="BK77" s="152"/>
      <c r="BL77" s="152"/>
      <c r="BM77" s="45"/>
      <c r="BN77" s="45">
        <v>0</v>
      </c>
      <c r="BO77" s="45" t="s">
        <v>299</v>
      </c>
      <c r="BP77" s="45"/>
      <c r="BQ77" s="45"/>
      <c r="BR77" s="45"/>
      <c r="BS77" s="152"/>
      <c r="BT77" s="152"/>
      <c r="BU77" s="152"/>
      <c r="BV77" s="152"/>
      <c r="BW77" s="152"/>
    </row>
    <row r="78" spans="1:75" ht="21" x14ac:dyDescent="0.25">
      <c r="C78" s="152"/>
      <c r="D78" s="152"/>
      <c r="E78" s="46" t="s">
        <v>300</v>
      </c>
      <c r="F78" s="47">
        <f>COUNTIF(F1:F24,"V1")*(1)+COUNTIF(F1:F24,"V2")*(1)+COUNTIF(F1:F24,"V3")*(1)</f>
        <v>0</v>
      </c>
      <c r="G78" s="47">
        <f>COUNTIF(G1:G24,"V1")*(1)+COUNTIF(G1:G24,"V2")*(1)+COUNTIF(G1:G24,"V3")*(1)</f>
        <v>0</v>
      </c>
      <c r="H78" s="78">
        <f>COUNTIF(H1:H24,"V1")*(1)+COUNTIF(H1:H24,"V2")*(1)+COUNTIF(H1:H24,"V3")*(1)</f>
        <v>0</v>
      </c>
      <c r="I78" s="78">
        <f>COUNTIF(I1:I24,"V1")*(1)+COUNTIF(I1:I24,"V2")*(1)+COUNTIF(I1:I24,"V3")*(1)</f>
        <v>0</v>
      </c>
      <c r="J78" s="42" t="s">
        <v>243</v>
      </c>
      <c r="K78" s="43" t="s">
        <v>243</v>
      </c>
      <c r="L78" s="43" t="s">
        <v>243</v>
      </c>
      <c r="M78" s="44" t="s">
        <v>243</v>
      </c>
      <c r="N78" s="47">
        <f t="shared" ref="N78:W78" si="40">COUNTIF(N1:N24,"V1")*(1)+COUNTIF(N1:N24,"V2")*(1)+COUNTIF(N1:N24,"V3")*(1)</f>
        <v>0</v>
      </c>
      <c r="O78" s="47">
        <f t="shared" si="40"/>
        <v>0</v>
      </c>
      <c r="P78" s="47">
        <f t="shared" si="40"/>
        <v>0</v>
      </c>
      <c r="Q78" s="47">
        <f t="shared" si="40"/>
        <v>0</v>
      </c>
      <c r="R78" s="47">
        <f>COUNTIF(R1:R24,"V1")*(1)+COUNTIF(R1:R24,"V2")*(1)+COUNTIF(R1:R24,"V3")*(1)</f>
        <v>0</v>
      </c>
      <c r="S78" s="47">
        <f t="shared" si="40"/>
        <v>0</v>
      </c>
      <c r="T78" s="47">
        <f t="shared" si="40"/>
        <v>0</v>
      </c>
      <c r="U78" s="47">
        <f t="shared" si="40"/>
        <v>0</v>
      </c>
      <c r="V78" s="47">
        <f t="shared" si="40"/>
        <v>0</v>
      </c>
      <c r="W78" s="47">
        <f t="shared" si="40"/>
        <v>0</v>
      </c>
      <c r="X78" s="42" t="s">
        <v>243</v>
      </c>
      <c r="Y78" s="43" t="s">
        <v>243</v>
      </c>
      <c r="Z78" s="43" t="s">
        <v>243</v>
      </c>
      <c r="AA78" s="44" t="s">
        <v>243</v>
      </c>
      <c r="AB78" s="47">
        <f t="shared" ref="AB78:AK78" si="41">COUNTIF(AB1:AB24,"V1")*(1)+COUNTIF(AB1:AB24,"V2")*(1)+COUNTIF(AB1:AB24,"V3")*(1)</f>
        <v>0</v>
      </c>
      <c r="AC78" s="47">
        <f t="shared" si="41"/>
        <v>0</v>
      </c>
      <c r="AD78" s="47">
        <f t="shared" si="41"/>
        <v>1</v>
      </c>
      <c r="AE78" s="47">
        <f t="shared" si="41"/>
        <v>0</v>
      </c>
      <c r="AF78" s="47">
        <f t="shared" si="41"/>
        <v>0</v>
      </c>
      <c r="AG78" s="47">
        <f t="shared" si="41"/>
        <v>0</v>
      </c>
      <c r="AH78" s="47">
        <f t="shared" si="41"/>
        <v>0</v>
      </c>
      <c r="AI78" s="47">
        <f t="shared" si="41"/>
        <v>0</v>
      </c>
      <c r="AJ78" s="47">
        <f t="shared" si="41"/>
        <v>0</v>
      </c>
      <c r="AK78" s="47">
        <f t="shared" si="41"/>
        <v>0</v>
      </c>
      <c r="AL78" s="42" t="s">
        <v>243</v>
      </c>
      <c r="AM78" s="43" t="s">
        <v>243</v>
      </c>
      <c r="AN78" s="43" t="s">
        <v>243</v>
      </c>
      <c r="AO78" s="44" t="s">
        <v>243</v>
      </c>
      <c r="AP78" s="47">
        <f t="shared" ref="AP78:AY78" si="42">COUNTIF(AP1:AP24,"V1")*(1)+COUNTIF(AP1:AP24,"V2")*(1)+COUNTIF(AP1:AP24,"V3")*(1)</f>
        <v>0</v>
      </c>
      <c r="AQ78" s="47">
        <f t="shared" si="42"/>
        <v>0</v>
      </c>
      <c r="AR78" s="47">
        <f t="shared" si="42"/>
        <v>0</v>
      </c>
      <c r="AS78" s="47">
        <f t="shared" si="42"/>
        <v>0</v>
      </c>
      <c r="AT78" s="47">
        <f t="shared" si="42"/>
        <v>0</v>
      </c>
      <c r="AU78" s="47">
        <f t="shared" si="42"/>
        <v>0</v>
      </c>
      <c r="AV78" s="47">
        <f t="shared" si="42"/>
        <v>0</v>
      </c>
      <c r="AW78" s="47">
        <f t="shared" si="42"/>
        <v>0</v>
      </c>
      <c r="AX78" s="47">
        <f t="shared" si="42"/>
        <v>0</v>
      </c>
      <c r="AY78" s="47">
        <f t="shared" si="42"/>
        <v>0</v>
      </c>
      <c r="AZ78" s="42" t="s">
        <v>243</v>
      </c>
      <c r="BA78" s="43" t="s">
        <v>243</v>
      </c>
      <c r="BB78" s="43" t="s">
        <v>243</v>
      </c>
      <c r="BC78" s="44" t="s">
        <v>243</v>
      </c>
      <c r="BD78" s="47">
        <f t="shared" ref="BD78:BI78" si="43">COUNTIF(BD1:BD24,"V1")*(1)+COUNTIF(BD1:BD24,"V2")*(1)+COUNTIF(BD1:BD24,"V3")*(1)</f>
        <v>0</v>
      </c>
      <c r="BE78" s="47">
        <f t="shared" si="43"/>
        <v>0</v>
      </c>
      <c r="BF78" s="47">
        <f t="shared" si="43"/>
        <v>0</v>
      </c>
      <c r="BG78" s="47">
        <f t="shared" si="43"/>
        <v>0</v>
      </c>
      <c r="BH78" s="47">
        <f t="shared" si="43"/>
        <v>0</v>
      </c>
      <c r="BI78" s="47">
        <f t="shared" si="43"/>
        <v>0</v>
      </c>
      <c r="BJ78" s="152"/>
      <c r="BK78" s="152"/>
      <c r="BL78" s="152"/>
      <c r="BM78" s="45"/>
      <c r="BN78" s="45">
        <v>-81</v>
      </c>
      <c r="BO78" s="45" t="s">
        <v>301</v>
      </c>
      <c r="BP78" s="45"/>
      <c r="BQ78" s="45"/>
      <c r="BR78" s="45"/>
      <c r="BS78" s="45"/>
      <c r="BT78" s="45"/>
      <c r="BU78" s="45"/>
      <c r="BV78" s="152"/>
      <c r="BW78" s="152"/>
    </row>
    <row r="79" spans="1:75" ht="21" x14ac:dyDescent="0.25">
      <c r="C79" s="152"/>
      <c r="D79" s="152"/>
      <c r="E79" s="46" t="s">
        <v>302</v>
      </c>
      <c r="F79" s="47">
        <f>COUNTIF(F1:F24,"HV")*(1)</f>
        <v>0</v>
      </c>
      <c r="G79" s="47">
        <f>COUNTIF(G1:G24,"HV")*(1)</f>
        <v>0</v>
      </c>
      <c r="H79" s="78">
        <f>COUNTIF(H1:H24,"HV")*(1)</f>
        <v>0</v>
      </c>
      <c r="I79" s="78">
        <f>COUNTIF(I1:I24,"HV")*(1)</f>
        <v>0</v>
      </c>
      <c r="J79" s="42" t="s">
        <v>243</v>
      </c>
      <c r="K79" s="43" t="s">
        <v>243</v>
      </c>
      <c r="L79" s="43" t="s">
        <v>243</v>
      </c>
      <c r="M79" s="44" t="s">
        <v>243</v>
      </c>
      <c r="N79" s="47">
        <f t="shared" ref="N79:W79" si="44">COUNTIF(N1:N24,"HV")*(1)</f>
        <v>0</v>
      </c>
      <c r="O79" s="47">
        <f t="shared" si="44"/>
        <v>0</v>
      </c>
      <c r="P79" s="47">
        <f t="shared" si="44"/>
        <v>0</v>
      </c>
      <c r="Q79" s="47">
        <f t="shared" si="44"/>
        <v>0</v>
      </c>
      <c r="R79" s="47">
        <f>COUNTIF(R1:R24,"HV")*(1)</f>
        <v>0</v>
      </c>
      <c r="S79" s="47">
        <f t="shared" si="44"/>
        <v>0</v>
      </c>
      <c r="T79" s="47">
        <f t="shared" si="44"/>
        <v>0</v>
      </c>
      <c r="U79" s="47">
        <f t="shared" si="44"/>
        <v>0</v>
      </c>
      <c r="V79" s="47">
        <f t="shared" si="44"/>
        <v>0</v>
      </c>
      <c r="W79" s="47">
        <f t="shared" si="44"/>
        <v>0</v>
      </c>
      <c r="X79" s="42" t="s">
        <v>243</v>
      </c>
      <c r="Y79" s="43" t="s">
        <v>243</v>
      </c>
      <c r="Z79" s="43" t="s">
        <v>243</v>
      </c>
      <c r="AA79" s="44" t="s">
        <v>243</v>
      </c>
      <c r="AB79" s="47">
        <f t="shared" ref="AB79:AK79" si="45">COUNTIF(AB1:AB24,"HV")*(1)</f>
        <v>0</v>
      </c>
      <c r="AC79" s="47">
        <f t="shared" si="45"/>
        <v>0</v>
      </c>
      <c r="AD79" s="47">
        <f t="shared" si="45"/>
        <v>0</v>
      </c>
      <c r="AE79" s="47">
        <f t="shared" si="45"/>
        <v>0</v>
      </c>
      <c r="AF79" s="47">
        <f t="shared" si="45"/>
        <v>0</v>
      </c>
      <c r="AG79" s="47">
        <f t="shared" si="45"/>
        <v>0</v>
      </c>
      <c r="AH79" s="47">
        <f t="shared" si="45"/>
        <v>0</v>
      </c>
      <c r="AI79" s="47">
        <f t="shared" si="45"/>
        <v>0</v>
      </c>
      <c r="AJ79" s="47">
        <f t="shared" si="45"/>
        <v>1</v>
      </c>
      <c r="AK79" s="47">
        <f t="shared" si="45"/>
        <v>0</v>
      </c>
      <c r="AL79" s="42" t="s">
        <v>243</v>
      </c>
      <c r="AM79" s="43" t="s">
        <v>243</v>
      </c>
      <c r="AN79" s="43" t="s">
        <v>243</v>
      </c>
      <c r="AO79" s="44" t="s">
        <v>243</v>
      </c>
      <c r="AP79" s="47">
        <f t="shared" ref="AP79:AY79" si="46">COUNTIF(AP1:AP24,"HV")*(1)</f>
        <v>0</v>
      </c>
      <c r="AQ79" s="47">
        <f t="shared" si="46"/>
        <v>0</v>
      </c>
      <c r="AR79" s="47">
        <f t="shared" si="46"/>
        <v>0</v>
      </c>
      <c r="AS79" s="47">
        <f t="shared" si="46"/>
        <v>0</v>
      </c>
      <c r="AT79" s="47">
        <f t="shared" si="46"/>
        <v>0</v>
      </c>
      <c r="AU79" s="47">
        <f t="shared" si="46"/>
        <v>0</v>
      </c>
      <c r="AV79" s="47">
        <f t="shared" si="46"/>
        <v>0</v>
      </c>
      <c r="AW79" s="47">
        <f t="shared" si="46"/>
        <v>0</v>
      </c>
      <c r="AX79" s="47">
        <f t="shared" si="46"/>
        <v>0</v>
      </c>
      <c r="AY79" s="47">
        <f t="shared" si="46"/>
        <v>0</v>
      </c>
      <c r="AZ79" s="42" t="s">
        <v>243</v>
      </c>
      <c r="BA79" s="43" t="s">
        <v>243</v>
      </c>
      <c r="BB79" s="43" t="s">
        <v>243</v>
      </c>
      <c r="BC79" s="44" t="s">
        <v>243</v>
      </c>
      <c r="BD79" s="47">
        <f t="shared" ref="BD79:BI79" si="47">COUNTIF(BD1:BD24,"HV")*(1)</f>
        <v>0</v>
      </c>
      <c r="BE79" s="47">
        <f t="shared" si="47"/>
        <v>0</v>
      </c>
      <c r="BF79" s="47">
        <f t="shared" si="47"/>
        <v>0</v>
      </c>
      <c r="BG79" s="47">
        <f t="shared" si="47"/>
        <v>0</v>
      </c>
      <c r="BH79" s="47">
        <f t="shared" si="47"/>
        <v>0</v>
      </c>
      <c r="BI79" s="47">
        <f t="shared" si="47"/>
        <v>0</v>
      </c>
      <c r="BJ79" s="152"/>
      <c r="BK79" s="152"/>
      <c r="BL79" s="152"/>
      <c r="BM79" s="152"/>
      <c r="BN79" s="45">
        <v>-81</v>
      </c>
      <c r="BO79" s="45" t="s">
        <v>303</v>
      </c>
      <c r="BP79" s="45"/>
      <c r="BQ79" s="45"/>
      <c r="BR79" s="45"/>
      <c r="BS79" s="45"/>
      <c r="BT79" s="45"/>
      <c r="BU79" s="152"/>
      <c r="BV79" s="152"/>
      <c r="BW79" s="152"/>
    </row>
    <row r="80" spans="1:75" ht="21" x14ac:dyDescent="0.25">
      <c r="C80" s="152"/>
      <c r="D80" s="152"/>
      <c r="E80" s="46" t="s">
        <v>304</v>
      </c>
      <c r="F80" s="30">
        <f>ROUNDUP(SUM(F76:F77),0)</f>
        <v>1</v>
      </c>
      <c r="G80" s="30">
        <f>ROUNDUP(SUM(G76:G77),0)</f>
        <v>1</v>
      </c>
      <c r="H80" s="79">
        <f t="shared" ref="H80:AC80" si="48">ROUNDUP(SUM(H76:H77),0)</f>
        <v>1</v>
      </c>
      <c r="I80" s="79">
        <f t="shared" si="48"/>
        <v>2</v>
      </c>
      <c r="J80" s="42" t="s">
        <v>243</v>
      </c>
      <c r="K80" s="43" t="s">
        <v>243</v>
      </c>
      <c r="L80" s="43" t="s">
        <v>243</v>
      </c>
      <c r="M80" s="44" t="s">
        <v>243</v>
      </c>
      <c r="N80" s="30">
        <f t="shared" si="48"/>
        <v>0</v>
      </c>
      <c r="O80" s="30">
        <f t="shared" si="48"/>
        <v>0</v>
      </c>
      <c r="P80" s="30">
        <f t="shared" si="48"/>
        <v>2</v>
      </c>
      <c r="Q80" s="30">
        <f t="shared" si="48"/>
        <v>2</v>
      </c>
      <c r="R80" s="30">
        <f t="shared" si="48"/>
        <v>3</v>
      </c>
      <c r="S80" s="30">
        <f t="shared" si="48"/>
        <v>0</v>
      </c>
      <c r="T80" s="30">
        <f t="shared" si="48"/>
        <v>3</v>
      </c>
      <c r="U80" s="30">
        <f t="shared" si="48"/>
        <v>1</v>
      </c>
      <c r="V80" s="30">
        <f t="shared" si="48"/>
        <v>2</v>
      </c>
      <c r="W80" s="30">
        <f t="shared" si="48"/>
        <v>2</v>
      </c>
      <c r="X80" s="42" t="s">
        <v>243</v>
      </c>
      <c r="Y80" s="43" t="s">
        <v>243</v>
      </c>
      <c r="Z80" s="43" t="s">
        <v>243</v>
      </c>
      <c r="AA80" s="44" t="s">
        <v>243</v>
      </c>
      <c r="AB80" s="30">
        <f>ROUNDUP(SUM(AB76:AB77),0)</f>
        <v>2</v>
      </c>
      <c r="AC80" s="30">
        <f t="shared" si="48"/>
        <v>3</v>
      </c>
      <c r="AD80" s="30">
        <f>ROUNDUP(SUM(AD76:AD79),0)</f>
        <v>2</v>
      </c>
      <c r="AE80" s="30">
        <f t="shared" ref="AE80:BI80" si="49">ROUNDUP(SUM(AE76:AE79),0)</f>
        <v>2</v>
      </c>
      <c r="AF80" s="30">
        <f t="shared" si="49"/>
        <v>3</v>
      </c>
      <c r="AG80" s="30">
        <f t="shared" si="49"/>
        <v>0</v>
      </c>
      <c r="AH80" s="30">
        <f t="shared" si="49"/>
        <v>2</v>
      </c>
      <c r="AI80" s="30">
        <f t="shared" si="49"/>
        <v>1</v>
      </c>
      <c r="AJ80" s="30">
        <f t="shared" si="49"/>
        <v>3</v>
      </c>
      <c r="AK80" s="30">
        <f t="shared" si="49"/>
        <v>2</v>
      </c>
      <c r="AL80" s="42" t="s">
        <v>243</v>
      </c>
      <c r="AM80" s="43" t="s">
        <v>243</v>
      </c>
      <c r="AN80" s="43" t="s">
        <v>243</v>
      </c>
      <c r="AO80" s="44" t="s">
        <v>243</v>
      </c>
      <c r="AP80" s="30">
        <f t="shared" si="49"/>
        <v>3</v>
      </c>
      <c r="AQ80" s="30">
        <f t="shared" si="49"/>
        <v>2</v>
      </c>
      <c r="AR80" s="30">
        <f t="shared" si="49"/>
        <v>2</v>
      </c>
      <c r="AS80" s="30">
        <f t="shared" si="49"/>
        <v>2</v>
      </c>
      <c r="AT80" s="30">
        <f t="shared" si="49"/>
        <v>2</v>
      </c>
      <c r="AU80" s="30">
        <f t="shared" si="49"/>
        <v>0</v>
      </c>
      <c r="AV80" s="30">
        <f t="shared" si="49"/>
        <v>2</v>
      </c>
      <c r="AW80" s="30">
        <f t="shared" si="49"/>
        <v>2</v>
      </c>
      <c r="AX80" s="30">
        <f t="shared" si="49"/>
        <v>2</v>
      </c>
      <c r="AY80" s="30">
        <f t="shared" si="49"/>
        <v>2</v>
      </c>
      <c r="AZ80" s="42" t="s">
        <v>243</v>
      </c>
      <c r="BA80" s="43" t="s">
        <v>243</v>
      </c>
      <c r="BB80" s="43" t="s">
        <v>243</v>
      </c>
      <c r="BC80" s="44" t="s">
        <v>243</v>
      </c>
      <c r="BD80" s="30">
        <f t="shared" si="49"/>
        <v>2</v>
      </c>
      <c r="BE80" s="30">
        <f t="shared" si="49"/>
        <v>3</v>
      </c>
      <c r="BF80" s="30">
        <f t="shared" si="49"/>
        <v>1</v>
      </c>
      <c r="BG80" s="30">
        <f t="shared" si="49"/>
        <v>2</v>
      </c>
      <c r="BH80" s="30">
        <f t="shared" si="49"/>
        <v>0</v>
      </c>
      <c r="BI80" s="30">
        <f t="shared" si="49"/>
        <v>0</v>
      </c>
      <c r="BJ80" s="152"/>
      <c r="BK80" s="152"/>
      <c r="BL80" s="152"/>
      <c r="BM80" s="152"/>
      <c r="BN80" s="45">
        <v>-0.04</v>
      </c>
      <c r="BO80" s="45" t="s">
        <v>305</v>
      </c>
      <c r="BP80" s="45"/>
      <c r="BQ80" s="152"/>
      <c r="BR80" s="152"/>
      <c r="BS80" s="152"/>
      <c r="BT80" s="152"/>
      <c r="BU80" s="152"/>
      <c r="BV80" s="152"/>
      <c r="BW80" s="152"/>
    </row>
    <row r="81" spans="3:75" ht="21" x14ac:dyDescent="0.25">
      <c r="C81" s="152"/>
      <c r="D81" s="152"/>
      <c r="E81" s="48" t="s">
        <v>306</v>
      </c>
      <c r="F81" s="49">
        <f>COUNTIF(F27:F43,"AT")*(1)+COUNTIF(F27:F43,"PCAT")*(1)</f>
        <v>1</v>
      </c>
      <c r="G81" s="49">
        <f>COUNTIF(G27:G43,"AT")*(1)+COUNTIF(G27:G43,"PCAT")*(1)</f>
        <v>1</v>
      </c>
      <c r="H81" s="49">
        <f>COUNTIF(H27:H43,"AT")*(1)+COUNTIF(H27:H43,"PCAT")*(1)</f>
        <v>1</v>
      </c>
      <c r="I81" s="49">
        <f>COUNTIF(I27:I43,"AT")*(1)+COUNTIF(I27:I43,"PCAT")*(1)</f>
        <v>1</v>
      </c>
      <c r="J81" s="42" t="s">
        <v>243</v>
      </c>
      <c r="K81" s="43" t="s">
        <v>243</v>
      </c>
      <c r="L81" s="43" t="s">
        <v>243</v>
      </c>
      <c r="M81" s="44" t="s">
        <v>243</v>
      </c>
      <c r="N81" s="49">
        <f t="shared" ref="N81:W81" si="50">COUNTIF(N27:N43,"AT")*(1)+COUNTIF(N27:N43,"PCAT")*(1)</f>
        <v>0</v>
      </c>
      <c r="O81" s="49">
        <f t="shared" si="50"/>
        <v>0</v>
      </c>
      <c r="P81" s="49">
        <f t="shared" si="50"/>
        <v>1</v>
      </c>
      <c r="Q81" s="49">
        <f t="shared" si="50"/>
        <v>2</v>
      </c>
      <c r="R81" s="49">
        <f t="shared" si="50"/>
        <v>3</v>
      </c>
      <c r="S81" s="49">
        <f t="shared" si="50"/>
        <v>0</v>
      </c>
      <c r="T81" s="49">
        <f t="shared" si="50"/>
        <v>3</v>
      </c>
      <c r="U81" s="49">
        <f t="shared" si="50"/>
        <v>1</v>
      </c>
      <c r="V81" s="49">
        <f t="shared" si="50"/>
        <v>2</v>
      </c>
      <c r="W81" s="49">
        <f t="shared" si="50"/>
        <v>2</v>
      </c>
      <c r="X81" s="42" t="s">
        <v>243</v>
      </c>
      <c r="Y81" s="43" t="s">
        <v>243</v>
      </c>
      <c r="Z81" s="43" t="s">
        <v>243</v>
      </c>
      <c r="AA81" s="44" t="s">
        <v>243</v>
      </c>
      <c r="AB81" s="49">
        <f>COUNTIF(AB27:AB43,"AT")*(1)+COUNTIF(AB27:AB43,"PCAT")*(1)</f>
        <v>2</v>
      </c>
      <c r="AC81" s="49">
        <f t="shared" ref="AC81:AK81" si="51">COUNTIF(AC27:AC43,"AT")*(1)+COUNTIF(AC27:AC43,"PCAT")*(1)</f>
        <v>3</v>
      </c>
      <c r="AD81" s="49">
        <f t="shared" si="51"/>
        <v>2</v>
      </c>
      <c r="AE81" s="49">
        <f t="shared" si="51"/>
        <v>2</v>
      </c>
      <c r="AF81" s="49">
        <f t="shared" si="51"/>
        <v>3</v>
      </c>
      <c r="AG81" s="49">
        <f t="shared" si="51"/>
        <v>0</v>
      </c>
      <c r="AH81" s="49">
        <f t="shared" si="51"/>
        <v>2</v>
      </c>
      <c r="AI81" s="49">
        <f t="shared" si="51"/>
        <v>0</v>
      </c>
      <c r="AJ81" s="49">
        <f t="shared" si="51"/>
        <v>2</v>
      </c>
      <c r="AK81" s="49">
        <f t="shared" si="51"/>
        <v>2</v>
      </c>
      <c r="AL81" s="42" t="s">
        <v>243</v>
      </c>
      <c r="AM81" s="43" t="s">
        <v>243</v>
      </c>
      <c r="AN81" s="43" t="s">
        <v>243</v>
      </c>
      <c r="AO81" s="44" t="s">
        <v>243</v>
      </c>
      <c r="AP81" s="49">
        <f t="shared" ref="AP81:AY81" si="52">COUNTIF(AP27:AP43,"AT")*(1)+COUNTIF(AP27:AP43,"PCAT")*(1)</f>
        <v>1</v>
      </c>
      <c r="AQ81" s="49">
        <f t="shared" si="52"/>
        <v>2</v>
      </c>
      <c r="AR81" s="49">
        <f t="shared" si="52"/>
        <v>3</v>
      </c>
      <c r="AS81" s="49">
        <f t="shared" si="52"/>
        <v>2</v>
      </c>
      <c r="AT81" s="49">
        <f t="shared" si="52"/>
        <v>3</v>
      </c>
      <c r="AU81" s="49">
        <f t="shared" si="52"/>
        <v>0</v>
      </c>
      <c r="AV81" s="49">
        <f t="shared" si="52"/>
        <v>2</v>
      </c>
      <c r="AW81" s="49">
        <f t="shared" si="52"/>
        <v>2</v>
      </c>
      <c r="AX81" s="49">
        <f t="shared" si="52"/>
        <v>2</v>
      </c>
      <c r="AY81" s="49">
        <f t="shared" si="52"/>
        <v>2</v>
      </c>
      <c r="AZ81" s="42" t="s">
        <v>243</v>
      </c>
      <c r="BA81" s="43" t="s">
        <v>243</v>
      </c>
      <c r="BB81" s="43" t="s">
        <v>243</v>
      </c>
      <c r="BC81" s="44" t="s">
        <v>243</v>
      </c>
      <c r="BD81" s="49">
        <f t="shared" ref="BD81:BI81" si="53">COUNTIF(BD27:BD43,"AT")*(1)+COUNTIF(BD27:BD43,"PCAT")*(1)</f>
        <v>2</v>
      </c>
      <c r="BE81" s="49">
        <f t="shared" si="53"/>
        <v>0</v>
      </c>
      <c r="BF81" s="49">
        <f t="shared" si="53"/>
        <v>1</v>
      </c>
      <c r="BG81" s="49">
        <f t="shared" si="53"/>
        <v>2</v>
      </c>
      <c r="BH81" s="49">
        <f t="shared" si="53"/>
        <v>1</v>
      </c>
      <c r="BI81" s="49">
        <f t="shared" si="53"/>
        <v>0</v>
      </c>
      <c r="BJ81" s="152"/>
      <c r="BK81" s="152"/>
      <c r="BL81" s="152"/>
      <c r="BM81" s="152"/>
      <c r="BN81" s="45">
        <v>-0.22</v>
      </c>
      <c r="BO81" s="45" t="s">
        <v>307</v>
      </c>
      <c r="BP81" s="45"/>
      <c r="BQ81" s="45"/>
      <c r="BR81" s="152"/>
      <c r="BS81" s="152"/>
      <c r="BT81" s="152"/>
      <c r="BU81" s="152"/>
      <c r="BV81" s="152"/>
      <c r="BW81" s="152"/>
    </row>
    <row r="82" spans="3:75" ht="20" x14ac:dyDescent="0.2">
      <c r="C82" s="152"/>
      <c r="D82" s="152"/>
      <c r="E82" s="50" t="s">
        <v>308</v>
      </c>
      <c r="F82" s="51">
        <v>0</v>
      </c>
      <c r="G82" s="52">
        <v>0</v>
      </c>
      <c r="H82" s="80">
        <v>0</v>
      </c>
      <c r="I82" s="80">
        <v>0</v>
      </c>
      <c r="J82" s="42" t="s">
        <v>243</v>
      </c>
      <c r="K82" s="43" t="s">
        <v>243</v>
      </c>
      <c r="L82" s="43" t="s">
        <v>243</v>
      </c>
      <c r="M82" s="44" t="s">
        <v>243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42" t="s">
        <v>243</v>
      </c>
      <c r="Y82" s="43" t="s">
        <v>243</v>
      </c>
      <c r="Z82" s="43" t="s">
        <v>243</v>
      </c>
      <c r="AA82" s="44" t="s">
        <v>243</v>
      </c>
      <c r="AB82" s="52">
        <v>0</v>
      </c>
      <c r="AC82" s="52">
        <v>0</v>
      </c>
      <c r="AD82" s="52">
        <v>0</v>
      </c>
      <c r="AE82" s="52">
        <v>0</v>
      </c>
      <c r="AF82" s="52">
        <v>0</v>
      </c>
      <c r="AG82" s="52">
        <v>0</v>
      </c>
      <c r="AH82" s="52">
        <v>0</v>
      </c>
      <c r="AI82" s="52">
        <v>0</v>
      </c>
      <c r="AJ82" s="52">
        <v>0</v>
      </c>
      <c r="AK82" s="52">
        <v>0</v>
      </c>
      <c r="AL82" s="42" t="s">
        <v>243</v>
      </c>
      <c r="AM82" s="43" t="s">
        <v>243</v>
      </c>
      <c r="AN82" s="43" t="s">
        <v>243</v>
      </c>
      <c r="AO82" s="44" t="s">
        <v>243</v>
      </c>
      <c r="AP82" s="52">
        <v>0</v>
      </c>
      <c r="AQ82" s="52">
        <v>0</v>
      </c>
      <c r="AR82" s="52">
        <v>0</v>
      </c>
      <c r="AS82" s="52">
        <v>0</v>
      </c>
      <c r="AT82" s="52">
        <v>0</v>
      </c>
      <c r="AU82" s="52">
        <v>0</v>
      </c>
      <c r="AV82" s="52">
        <v>0</v>
      </c>
      <c r="AW82" s="52">
        <v>0</v>
      </c>
      <c r="AX82" s="52">
        <v>0</v>
      </c>
      <c r="AY82" s="52">
        <v>0</v>
      </c>
      <c r="AZ82" s="42" t="s">
        <v>243</v>
      </c>
      <c r="BA82" s="43" t="s">
        <v>243</v>
      </c>
      <c r="BB82" s="43" t="s">
        <v>243</v>
      </c>
      <c r="BC82" s="44" t="s">
        <v>243</v>
      </c>
      <c r="BD82" s="52">
        <v>0</v>
      </c>
      <c r="BE82" s="52">
        <v>0</v>
      </c>
      <c r="BF82" s="52">
        <v>0</v>
      </c>
      <c r="BG82" s="52">
        <v>0</v>
      </c>
      <c r="BH82" s="52">
        <v>0</v>
      </c>
      <c r="BI82" s="52">
        <v>0</v>
      </c>
      <c r="BJ82" s="155"/>
      <c r="BK82" s="155"/>
      <c r="BL82" s="155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</row>
    <row r="83" spans="3:75" x14ac:dyDescent="0.2">
      <c r="C83" s="152"/>
      <c r="D83" s="152"/>
      <c r="E83" s="15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</row>
    <row r="95" spans="3:75" x14ac:dyDescent="0.2">
      <c r="F95" t="s">
        <v>361</v>
      </c>
      <c r="G95" t="s">
        <v>361</v>
      </c>
      <c r="H95" t="s">
        <v>364</v>
      </c>
      <c r="I95" t="s">
        <v>364</v>
      </c>
      <c r="J95" t="s">
        <v>364</v>
      </c>
      <c r="K95" t="s">
        <v>364</v>
      </c>
      <c r="L95" t="s">
        <v>356</v>
      </c>
      <c r="M95" t="s">
        <v>356</v>
      </c>
      <c r="N95" t="s">
        <v>361</v>
      </c>
      <c r="O95" t="s">
        <v>361</v>
      </c>
      <c r="P95" t="s">
        <v>360</v>
      </c>
      <c r="Q95" t="s">
        <v>360</v>
      </c>
      <c r="R95" t="s">
        <v>355</v>
      </c>
      <c r="S95" t="s">
        <v>355</v>
      </c>
      <c r="T95" t="s">
        <v>359</v>
      </c>
      <c r="U95" t="s">
        <v>359</v>
      </c>
      <c r="V95" t="s">
        <v>362</v>
      </c>
      <c r="W95" t="s">
        <v>362</v>
      </c>
      <c r="X95" t="s">
        <v>362</v>
      </c>
      <c r="Y95" t="s">
        <v>362</v>
      </c>
      <c r="Z95" t="s">
        <v>360</v>
      </c>
      <c r="AA95" t="s">
        <v>360</v>
      </c>
      <c r="AB95" t="s">
        <v>360</v>
      </c>
      <c r="AC95" t="s">
        <v>360</v>
      </c>
      <c r="AD95" t="s">
        <v>357</v>
      </c>
      <c r="AE95" t="s">
        <v>357</v>
      </c>
      <c r="AF95" t="s">
        <v>363</v>
      </c>
      <c r="AG95" t="s">
        <v>363</v>
      </c>
      <c r="AH95" t="s">
        <v>356</v>
      </c>
      <c r="AI95" t="s">
        <v>356</v>
      </c>
      <c r="AJ95" t="s">
        <v>364</v>
      </c>
      <c r="AK95" t="s">
        <v>364</v>
      </c>
      <c r="AL95" t="s">
        <v>364</v>
      </c>
      <c r="AM95" t="s">
        <v>364</v>
      </c>
      <c r="AN95" t="s">
        <v>358</v>
      </c>
      <c r="AO95" t="s">
        <v>358</v>
      </c>
      <c r="AP95" t="s">
        <v>361</v>
      </c>
      <c r="AQ95" t="s">
        <v>361</v>
      </c>
      <c r="AR95" t="s">
        <v>355</v>
      </c>
      <c r="AS95" t="s">
        <v>355</v>
      </c>
      <c r="AT95" t="s">
        <v>359</v>
      </c>
      <c r="AU95" t="s">
        <v>359</v>
      </c>
      <c r="AV95" t="s">
        <v>357</v>
      </c>
      <c r="AW95" t="s">
        <v>357</v>
      </c>
      <c r="AX95" t="s">
        <v>362</v>
      </c>
      <c r="AY95" t="s">
        <v>362</v>
      </c>
      <c r="AZ95" t="s">
        <v>362</v>
      </c>
      <c r="BA95" t="s">
        <v>362</v>
      </c>
      <c r="BB95" t="s">
        <v>363</v>
      </c>
      <c r="BC95" t="s">
        <v>363</v>
      </c>
      <c r="BD95" t="s">
        <v>356</v>
      </c>
      <c r="BE95" t="s">
        <v>356</v>
      </c>
      <c r="BF95" t="s">
        <v>358</v>
      </c>
      <c r="BG95" t="s">
        <v>358</v>
      </c>
      <c r="BH95" t="s">
        <v>361</v>
      </c>
      <c r="BI95" t="s">
        <v>361</v>
      </c>
    </row>
    <row r="144" spans="6:33" x14ac:dyDescent="0.2">
      <c r="F144" t="s">
        <v>361</v>
      </c>
      <c r="G144" t="s">
        <v>364</v>
      </c>
      <c r="H144" t="s">
        <v>364</v>
      </c>
      <c r="I144" t="s">
        <v>356</v>
      </c>
      <c r="J144" t="s">
        <v>361</v>
      </c>
      <c r="K144" t="s">
        <v>360</v>
      </c>
      <c r="L144" t="s">
        <v>355</v>
      </c>
      <c r="M144" t="s">
        <v>359</v>
      </c>
      <c r="N144" t="s">
        <v>362</v>
      </c>
      <c r="O144" t="s">
        <v>362</v>
      </c>
      <c r="P144" t="s">
        <v>360</v>
      </c>
      <c r="Q144" t="s">
        <v>360</v>
      </c>
      <c r="R144" t="s">
        <v>357</v>
      </c>
      <c r="S144" t="s">
        <v>363</v>
      </c>
      <c r="T144" t="s">
        <v>356</v>
      </c>
      <c r="U144" t="s">
        <v>364</v>
      </c>
      <c r="V144" t="s">
        <v>364</v>
      </c>
      <c r="W144" t="s">
        <v>358</v>
      </c>
      <c r="X144" t="s">
        <v>361</v>
      </c>
      <c r="Y144" t="s">
        <v>355</v>
      </c>
      <c r="Z144" t="s">
        <v>359</v>
      </c>
      <c r="AA144" t="s">
        <v>357</v>
      </c>
      <c r="AB144" t="s">
        <v>362</v>
      </c>
      <c r="AC144" t="s">
        <v>362</v>
      </c>
      <c r="AD144" t="s">
        <v>363</v>
      </c>
      <c r="AE144" t="s">
        <v>356</v>
      </c>
      <c r="AF144" t="s">
        <v>358</v>
      </c>
      <c r="AG144" t="s">
        <v>361</v>
      </c>
    </row>
  </sheetData>
  <mergeCells count="176">
    <mergeCell ref="A12:B12"/>
    <mergeCell ref="A13:B13"/>
    <mergeCell ref="AH71:AI71"/>
    <mergeCell ref="AJ71:AK71"/>
    <mergeCell ref="AP71:AQ71"/>
    <mergeCell ref="AR71:AS71"/>
    <mergeCell ref="AT71:AU71"/>
    <mergeCell ref="AV71:AW71"/>
    <mergeCell ref="R71:S71"/>
    <mergeCell ref="T71:U71"/>
    <mergeCell ref="V71:W71"/>
    <mergeCell ref="AB71:AC71"/>
    <mergeCell ref="AD71:AE71"/>
    <mergeCell ref="AF71:AG71"/>
    <mergeCell ref="C71:D71"/>
    <mergeCell ref="F71:G71"/>
    <mergeCell ref="H71:I71"/>
    <mergeCell ref="N71:O71"/>
    <mergeCell ref="P71:Q71"/>
    <mergeCell ref="A19:B19"/>
    <mergeCell ref="A20:B20"/>
    <mergeCell ref="A21:B21"/>
    <mergeCell ref="A23:B23"/>
    <mergeCell ref="A24:B24"/>
    <mergeCell ref="C4:D5"/>
    <mergeCell ref="F4:G4"/>
    <mergeCell ref="H4:I4"/>
    <mergeCell ref="J4:K4"/>
    <mergeCell ref="L4:M4"/>
    <mergeCell ref="AX71:AY71"/>
    <mergeCell ref="BD71:BE71"/>
    <mergeCell ref="BF71:BG71"/>
    <mergeCell ref="BH71:BI71"/>
    <mergeCell ref="V5:W5"/>
    <mergeCell ref="X5:Y5"/>
    <mergeCell ref="Z5:AA5"/>
    <mergeCell ref="AB5:AC5"/>
    <mergeCell ref="F5:G5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14:B14"/>
    <mergeCell ref="A15:B15"/>
    <mergeCell ref="A16:B16"/>
    <mergeCell ref="A17:B17"/>
    <mergeCell ref="A18:B18"/>
    <mergeCell ref="BB5:BC5"/>
    <mergeCell ref="BD5:BE5"/>
    <mergeCell ref="BF5:BG5"/>
    <mergeCell ref="BH5:BI5"/>
    <mergeCell ref="A9:B9"/>
    <mergeCell ref="AP5:AQ5"/>
    <mergeCell ref="AR5:AS5"/>
    <mergeCell ref="AT5:AU5"/>
    <mergeCell ref="AV5:AW5"/>
    <mergeCell ref="AX5:AY5"/>
    <mergeCell ref="AZ5:BA5"/>
    <mergeCell ref="AD5:AE5"/>
    <mergeCell ref="AF5:AG5"/>
    <mergeCell ref="AH5:AI5"/>
    <mergeCell ref="AJ5:AK5"/>
    <mergeCell ref="AL5:AM5"/>
    <mergeCell ref="AN5:AO5"/>
    <mergeCell ref="R5:S5"/>
    <mergeCell ref="T5:U5"/>
    <mergeCell ref="AD4:AE4"/>
    <mergeCell ref="AF4:AG4"/>
    <mergeCell ref="AH4:AI4"/>
    <mergeCell ref="AJ4:AK4"/>
    <mergeCell ref="AX4:AY4"/>
    <mergeCell ref="AZ4:BA4"/>
    <mergeCell ref="BB4:BC4"/>
    <mergeCell ref="BD4:BE4"/>
    <mergeCell ref="AN3:AO3"/>
    <mergeCell ref="AP3:AQ3"/>
    <mergeCell ref="AR3:AS3"/>
    <mergeCell ref="AT3:AU3"/>
    <mergeCell ref="AB3:AC3"/>
    <mergeCell ref="AD3:AE3"/>
    <mergeCell ref="AF3:AG3"/>
    <mergeCell ref="AH3:AI3"/>
    <mergeCell ref="AJ3:AK3"/>
    <mergeCell ref="AL3:AM3"/>
    <mergeCell ref="AJ2:AK2"/>
    <mergeCell ref="P3:Q3"/>
    <mergeCell ref="R3:S3"/>
    <mergeCell ref="AF2:AG2"/>
    <mergeCell ref="AH2:AI2"/>
    <mergeCell ref="V3:W3"/>
    <mergeCell ref="AL2:AM2"/>
    <mergeCell ref="X3:Y3"/>
    <mergeCell ref="H5:I5"/>
    <mergeCell ref="J5:K5"/>
    <mergeCell ref="L5:M5"/>
    <mergeCell ref="N5:O5"/>
    <mergeCell ref="P5:Q5"/>
    <mergeCell ref="N4:O4"/>
    <mergeCell ref="P4:Q4"/>
    <mergeCell ref="R4:S4"/>
    <mergeCell ref="T4:U4"/>
    <mergeCell ref="V4:W4"/>
    <mergeCell ref="X4:Y4"/>
    <mergeCell ref="P1:Q1"/>
    <mergeCell ref="Z3:AA3"/>
    <mergeCell ref="AZ2:BA2"/>
    <mergeCell ref="BB2:BC2"/>
    <mergeCell ref="BD2:BE2"/>
    <mergeCell ref="BF2:BG2"/>
    <mergeCell ref="BH2:BI2"/>
    <mergeCell ref="AV2:AW2"/>
    <mergeCell ref="AX2:AY2"/>
    <mergeCell ref="AZ3:BA3"/>
    <mergeCell ref="BB3:BC3"/>
    <mergeCell ref="BD3:BE3"/>
    <mergeCell ref="BF3:BG3"/>
    <mergeCell ref="BH3:BI3"/>
    <mergeCell ref="AV3:AW3"/>
    <mergeCell ref="AX3:AY3"/>
    <mergeCell ref="AN2:AO2"/>
    <mergeCell ref="AP2:AQ2"/>
    <mergeCell ref="AR2:AS2"/>
    <mergeCell ref="AT2:AU2"/>
    <mergeCell ref="AB2:AC2"/>
    <mergeCell ref="AD2:AE2"/>
    <mergeCell ref="AZ1:BA1"/>
    <mergeCell ref="BB1:BC1"/>
    <mergeCell ref="BD1:BE1"/>
    <mergeCell ref="BF1:BG1"/>
    <mergeCell ref="BH1:BI1"/>
    <mergeCell ref="F2:G2"/>
    <mergeCell ref="H2:I2"/>
    <mergeCell ref="J2:K2"/>
    <mergeCell ref="L2:M2"/>
    <mergeCell ref="N2:O2"/>
    <mergeCell ref="AN1:AO1"/>
    <mergeCell ref="AP1:AQ1"/>
    <mergeCell ref="AR1:AS1"/>
    <mergeCell ref="AT1:AU1"/>
    <mergeCell ref="AV1:AW1"/>
    <mergeCell ref="AX1:AY1"/>
    <mergeCell ref="AB1:AC1"/>
    <mergeCell ref="AD1:AE1"/>
    <mergeCell ref="AF1:AG1"/>
    <mergeCell ref="AH1:AI1"/>
    <mergeCell ref="AJ1:AK1"/>
    <mergeCell ref="AL1:AM1"/>
    <mergeCell ref="R1:S1"/>
    <mergeCell ref="T1:U1"/>
    <mergeCell ref="V1:W1"/>
    <mergeCell ref="X1:Y1"/>
    <mergeCell ref="Z1:AA1"/>
    <mergeCell ref="C1:D3"/>
    <mergeCell ref="F1:G1"/>
    <mergeCell ref="H1:I1"/>
    <mergeCell ref="J1:K1"/>
    <mergeCell ref="L1:M1"/>
    <mergeCell ref="N1:O1"/>
    <mergeCell ref="F3:G3"/>
    <mergeCell ref="H3:I3"/>
    <mergeCell ref="J3:K3"/>
    <mergeCell ref="L3:M3"/>
    <mergeCell ref="N3:O3"/>
    <mergeCell ref="P2:Q2"/>
    <mergeCell ref="R2:S2"/>
    <mergeCell ref="T2:U2"/>
    <mergeCell ref="V2:W2"/>
    <mergeCell ref="X2:Y2"/>
    <mergeCell ref="Z2:AA2"/>
    <mergeCell ref="T3:U3"/>
  </mergeCells>
  <conditionalFormatting sqref="BU8">
    <cfRule type="containsText" dxfId="38" priority="1388" operator="containsText" text="&quot;HC&quot;">
      <formula>NOT(ISERROR(SEARCH("""HC""",BU8)))</formula>
    </cfRule>
  </conditionalFormatting>
  <conditionalFormatting sqref="BU9:BU10">
    <cfRule type="containsText" dxfId="37" priority="1386" operator="containsText" text="&quot;HC&quot;">
      <formula>NOT(ISERROR(SEARCH("""HC""",BU9)))</formula>
    </cfRule>
    <cfRule type="containsText" dxfId="36" priority="1387" operator="containsText" text="&quot;C&quot;">
      <formula>NOT(ISERROR(SEARCH("""C""",BU9)))</formula>
    </cfRule>
  </conditionalFormatting>
  <conditionalFormatting sqref="BU11">
    <cfRule type="containsText" dxfId="35" priority="1384" operator="containsText" text="&quot;HC&quot;">
      <formula>NOT(ISERROR(SEARCH("""HC""",BU11)))</formula>
    </cfRule>
    <cfRule type="containsText" dxfId="34" priority="1385" operator="containsText" text="&quot;C&quot;">
      <formula>NOT(ISERROR(SEARCH("""C""",BU11)))</formula>
    </cfRule>
  </conditionalFormatting>
  <conditionalFormatting sqref="BU12:BU13">
    <cfRule type="containsText" dxfId="33" priority="1382" operator="containsText" text="&quot;HC&quot;">
      <formula>NOT(ISERROR(SEARCH("""HC""",BU12)))</formula>
    </cfRule>
    <cfRule type="containsText" dxfId="32" priority="1383" operator="containsText" text="&quot;C&quot;">
      <formula>NOT(ISERROR(SEARCH("""C""",BU12)))</formula>
    </cfRule>
  </conditionalFormatting>
  <conditionalFormatting sqref="BU14">
    <cfRule type="containsText" dxfId="31" priority="1380" operator="containsText" text="&quot;HC&quot;">
      <formula>NOT(ISERROR(SEARCH("""HC""",BU14)))</formula>
    </cfRule>
    <cfRule type="containsText" dxfId="30" priority="1381" operator="containsText" text="&quot;C&quot;">
      <formula>NOT(ISERROR(SEARCH("""C""",BU14)))</formula>
    </cfRule>
  </conditionalFormatting>
  <conditionalFormatting sqref="BU15">
    <cfRule type="containsText" dxfId="29" priority="1378" operator="containsText" text="&quot;HC&quot;">
      <formula>NOT(ISERROR(SEARCH("""HC""",BU15)))</formula>
    </cfRule>
    <cfRule type="containsText" dxfId="28" priority="1379" operator="containsText" text="&quot;C&quot;">
      <formula>NOT(ISERROR(SEARCH("""C""",BU15)))</formula>
    </cfRule>
  </conditionalFormatting>
  <conditionalFormatting sqref="BU16">
    <cfRule type="containsText" dxfId="27" priority="1376" operator="containsText" text="&quot;HC&quot;">
      <formula>NOT(ISERROR(SEARCH("""HC""",BU16)))</formula>
    </cfRule>
    <cfRule type="containsText" dxfId="26" priority="1377" operator="containsText" text="&quot;C&quot;">
      <formula>NOT(ISERROR(SEARCH("""C""",BU16)))</formula>
    </cfRule>
  </conditionalFormatting>
  <conditionalFormatting sqref="F81:AK81 AP81:AY81 BD81:BI81">
    <cfRule type="cellIs" dxfId="25" priority="41" operator="notEqual">
      <formula>F80</formula>
    </cfRule>
  </conditionalFormatting>
  <conditionalFormatting sqref="F71:BI82">
    <cfRule type="cellIs" dxfId="24" priority="32" operator="equal">
      <formula>$BM$61</formula>
    </cfRule>
    <cfRule type="cellIs" dxfId="23" priority="33" operator="equal">
      <formula>$BM$59</formula>
    </cfRule>
    <cfRule type="cellIs" dxfId="22" priority="34" operator="equal">
      <formula>$BM$58</formula>
    </cfRule>
    <cfRule type="cellIs" dxfId="21" priority="35" operator="equal">
      <formula>$BM$56</formula>
    </cfRule>
    <cfRule type="cellIs" dxfId="20" priority="36" operator="equal">
      <formula>$BM$55</formula>
    </cfRule>
    <cfRule type="cellIs" dxfId="19" priority="37" operator="equal">
      <formula>$BM$54</formula>
    </cfRule>
    <cfRule type="cellIs" dxfId="18" priority="38" operator="equal">
      <formula>$BM$53</formula>
    </cfRule>
    <cfRule type="cellIs" dxfId="17" priority="39" operator="equal">
      <formula>$BM$52</formula>
    </cfRule>
    <cfRule type="cellIs" dxfId="16" priority="40" operator="equal">
      <formula>$BM$51</formula>
    </cfRule>
  </conditionalFormatting>
  <conditionalFormatting sqref="F31:BI68 F9:BI28">
    <cfRule type="expression" dxfId="15" priority="29">
      <formula>OR(F9="NF",F9="LV",F9="OFF",F9="PCAT")</formula>
    </cfRule>
  </conditionalFormatting>
  <conditionalFormatting sqref="F31:BI68 F9:BI28">
    <cfRule type="expression" dxfId="14" priority="28">
      <formula>F9="W"</formula>
    </cfRule>
  </conditionalFormatting>
  <conditionalFormatting sqref="F31:BI68 F9:BI28">
    <cfRule type="expression" dxfId="13" priority="27">
      <formula>F9="FMIT"</formula>
    </cfRule>
  </conditionalFormatting>
  <conditionalFormatting sqref="F31:BI68 F9:BI28">
    <cfRule type="expression" dxfId="12" priority="26">
      <formula>OR(F9="TDY",F9="C4",F9="DEP",F9="USAFP",F9="HAFP",F9="USU")</formula>
    </cfRule>
  </conditionalFormatting>
  <conditionalFormatting sqref="F31:BI68 F9:BI28">
    <cfRule type="expression" dxfId="11" priority="25">
      <formula>OR(F9="FED",F9="HOL",F9="TNG")</formula>
    </cfRule>
  </conditionalFormatting>
  <conditionalFormatting sqref="F31:BI68 F9:BI28">
    <cfRule type="expression" dxfId="10" priority="24">
      <formula>OR(   F9="C",   F9="C-I",   F9="C30",   F9="C40",   F9="C60",   F9="SIM",   F9="CV",   F9="SM",   F9="aSM" )</formula>
    </cfRule>
  </conditionalFormatting>
  <conditionalFormatting sqref="F31:BI68 F9:BI28">
    <cfRule type="expression" dxfId="9" priority="23">
      <formula>OR(   F9="PR",   F9="VAS",   F9="VasC",   F9="V1",   F9="V2",   F9="V3" )</formula>
    </cfRule>
  </conditionalFormatting>
  <conditionalFormatting sqref="F31:BI68 F9:BI28">
    <cfRule type="expression" dxfId="8" priority="22">
      <formula>F9="CLC"</formula>
    </cfRule>
  </conditionalFormatting>
  <conditionalFormatting sqref="F31:BI68 F9:BI28">
    <cfRule type="expression" dxfId="7" priority="21">
      <formula>OR(F9="HV",F9="AT")</formula>
    </cfRule>
  </conditionalFormatting>
  <conditionalFormatting sqref="F31:BI68 F9:BI28">
    <cfRule type="expression" dxfId="6" priority="20">
      <formula>F9="HC"</formula>
    </cfRule>
  </conditionalFormatting>
  <conditionalFormatting sqref="F31:BI68 F9:BI28">
    <cfRule type="expression" dxfId="5" priority="19">
      <formula>F9="PI"</formula>
    </cfRule>
  </conditionalFormatting>
  <conditionalFormatting sqref="F31:BI68 F9:BI28">
    <cfRule type="expression" dxfId="4" priority="18">
      <formula>F9="PCAT"</formula>
    </cfRule>
  </conditionalFormatting>
  <conditionalFormatting sqref="F9:BI47">
    <cfRule type="expression" dxfId="3" priority="4">
      <formula>F9="PEND"</formula>
    </cfRule>
  </conditionalFormatting>
  <conditionalFormatting sqref="F9:BI47">
    <cfRule type="expression" dxfId="2" priority="3">
      <formula>F9="CC"</formula>
    </cfRule>
  </conditionalFormatting>
  <conditionalFormatting sqref="F9:BI28">
    <cfRule type="expression" dxfId="1" priority="2">
      <formula>F9="Epic"</formula>
    </cfRule>
  </conditionalFormatting>
  <conditionalFormatting sqref="F9:BI28">
    <cfRule type="expression" dxfId="0" priority="1">
      <formula>F9="STRAUB"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215B-F12D-461F-8504-E4AFBC067269}">
  <dimension ref="A1:BR112"/>
  <sheetViews>
    <sheetView tabSelected="1" workbookViewId="0">
      <selection activeCell="I46" sqref="I46"/>
    </sheetView>
  </sheetViews>
  <sheetFormatPr baseColWidth="10" defaultColWidth="8.83203125" defaultRowHeight="15" x14ac:dyDescent="0.2"/>
  <cols>
    <col min="1" max="1" width="46.33203125" bestFit="1" customWidth="1"/>
  </cols>
  <sheetData>
    <row r="1" spans="1:70" ht="20.25" customHeight="1" x14ac:dyDescent="0.2">
      <c r="A1" s="179" t="s">
        <v>388</v>
      </c>
      <c r="B1" s="297" t="s">
        <v>389</v>
      </c>
      <c r="C1" s="297"/>
      <c r="D1" s="297" t="s">
        <v>390</v>
      </c>
      <c r="E1" s="297"/>
      <c r="F1" s="297" t="s">
        <v>391</v>
      </c>
      <c r="G1" s="297"/>
      <c r="H1" s="297" t="s">
        <v>392</v>
      </c>
      <c r="I1" s="297"/>
      <c r="J1" s="297" t="s">
        <v>393</v>
      </c>
      <c r="K1" s="297"/>
      <c r="L1" s="297" t="s">
        <v>394</v>
      </c>
      <c r="M1" s="297"/>
      <c r="N1" s="297" t="s">
        <v>395</v>
      </c>
      <c r="O1" s="297"/>
      <c r="P1" s="297" t="s">
        <v>389</v>
      </c>
      <c r="Q1" s="297"/>
      <c r="R1" s="297" t="s">
        <v>390</v>
      </c>
      <c r="S1" s="297"/>
      <c r="T1" s="297" t="s">
        <v>391</v>
      </c>
      <c r="U1" s="297"/>
      <c r="V1" s="297" t="s">
        <v>392</v>
      </c>
      <c r="W1" s="297"/>
      <c r="X1" s="297" t="s">
        <v>393</v>
      </c>
      <c r="Y1" s="297"/>
      <c r="Z1" s="297" t="s">
        <v>394</v>
      </c>
      <c r="AA1" s="297"/>
      <c r="AB1" s="297" t="s">
        <v>395</v>
      </c>
      <c r="AC1" s="297"/>
      <c r="AD1" s="297" t="s">
        <v>389</v>
      </c>
      <c r="AE1" s="297"/>
      <c r="AF1" s="297" t="s">
        <v>390</v>
      </c>
      <c r="AG1" s="297"/>
      <c r="AH1" s="297" t="s">
        <v>391</v>
      </c>
      <c r="AI1" s="297"/>
      <c r="AJ1" s="297" t="s">
        <v>392</v>
      </c>
      <c r="AK1" s="297"/>
      <c r="AL1" s="297" t="s">
        <v>393</v>
      </c>
      <c r="AM1" s="297"/>
      <c r="AN1" s="297" t="s">
        <v>394</v>
      </c>
      <c r="AO1" s="297"/>
      <c r="AP1" s="297" t="s">
        <v>243</v>
      </c>
      <c r="AQ1" s="297"/>
      <c r="AR1" s="297" t="s">
        <v>389</v>
      </c>
      <c r="AS1" s="297"/>
      <c r="AT1" s="297" t="s">
        <v>390</v>
      </c>
      <c r="AU1" s="297"/>
      <c r="AV1" s="297" t="s">
        <v>391</v>
      </c>
      <c r="AW1" s="297"/>
      <c r="AX1" s="297" t="s">
        <v>392</v>
      </c>
      <c r="AY1" s="297"/>
      <c r="AZ1" s="297" t="s">
        <v>393</v>
      </c>
      <c r="BA1" s="297"/>
      <c r="BB1" s="297" t="s">
        <v>394</v>
      </c>
      <c r="BC1" s="297"/>
      <c r="BD1" s="297" t="s">
        <v>243</v>
      </c>
      <c r="BE1" s="297"/>
      <c r="BF1" s="154" t="s">
        <v>220</v>
      </c>
      <c r="BG1" s="53" t="s">
        <v>396</v>
      </c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</row>
    <row r="2" spans="1:70" ht="20" x14ac:dyDescent="0.2">
      <c r="A2" s="26" t="s">
        <v>220</v>
      </c>
      <c r="B2" s="181" t="s">
        <v>397</v>
      </c>
      <c r="C2" s="181" t="s">
        <v>398</v>
      </c>
      <c r="D2" s="181" t="s">
        <v>397</v>
      </c>
      <c r="E2" s="181" t="s">
        <v>398</v>
      </c>
      <c r="F2" s="181" t="s">
        <v>397</v>
      </c>
      <c r="G2" s="181" t="s">
        <v>398</v>
      </c>
      <c r="H2" s="181" t="s">
        <v>397</v>
      </c>
      <c r="I2" s="181" t="s">
        <v>398</v>
      </c>
      <c r="J2" s="181" t="s">
        <v>397</v>
      </c>
      <c r="K2" s="181" t="s">
        <v>398</v>
      </c>
      <c r="L2" s="181" t="s">
        <v>397</v>
      </c>
      <c r="M2" s="181" t="s">
        <v>398</v>
      </c>
      <c r="N2" s="181" t="s">
        <v>397</v>
      </c>
      <c r="O2" s="181" t="s">
        <v>398</v>
      </c>
      <c r="P2" s="181" t="s">
        <v>397</v>
      </c>
      <c r="Q2" s="181" t="s">
        <v>398</v>
      </c>
      <c r="R2" s="181" t="s">
        <v>397</v>
      </c>
      <c r="S2" s="181" t="s">
        <v>398</v>
      </c>
      <c r="T2" s="181" t="s">
        <v>397</v>
      </c>
      <c r="U2" s="181" t="s">
        <v>398</v>
      </c>
      <c r="V2" s="181" t="s">
        <v>397</v>
      </c>
      <c r="W2" s="181" t="s">
        <v>398</v>
      </c>
      <c r="X2" s="181" t="s">
        <v>397</v>
      </c>
      <c r="Y2" s="181" t="s">
        <v>398</v>
      </c>
      <c r="Z2" s="181" t="s">
        <v>397</v>
      </c>
      <c r="AA2" s="181" t="s">
        <v>398</v>
      </c>
      <c r="AB2" s="181" t="s">
        <v>397</v>
      </c>
      <c r="AC2" s="181" t="s">
        <v>398</v>
      </c>
      <c r="AD2" s="181" t="s">
        <v>397</v>
      </c>
      <c r="AE2" s="181" t="s">
        <v>398</v>
      </c>
      <c r="AF2" s="181" t="s">
        <v>397</v>
      </c>
      <c r="AG2" s="181" t="s">
        <v>398</v>
      </c>
      <c r="AH2" s="181" t="s">
        <v>397</v>
      </c>
      <c r="AI2" s="181" t="s">
        <v>398</v>
      </c>
      <c r="AJ2" s="181" t="s">
        <v>397</v>
      </c>
      <c r="AK2" s="181" t="s">
        <v>398</v>
      </c>
      <c r="AL2" s="181" t="s">
        <v>397</v>
      </c>
      <c r="AM2" s="181" t="s">
        <v>398</v>
      </c>
      <c r="AN2" s="181" t="s">
        <v>397</v>
      </c>
      <c r="AO2" s="181" t="s">
        <v>398</v>
      </c>
      <c r="AP2" s="181" t="s">
        <v>397</v>
      </c>
      <c r="AQ2" s="181" t="s">
        <v>398</v>
      </c>
      <c r="AR2" s="181" t="s">
        <v>397</v>
      </c>
      <c r="AS2" s="181" t="s">
        <v>398</v>
      </c>
      <c r="AT2" s="181" t="s">
        <v>397</v>
      </c>
      <c r="AU2" s="181" t="s">
        <v>398</v>
      </c>
      <c r="AV2" s="181" t="s">
        <v>397</v>
      </c>
      <c r="AW2" s="181" t="s">
        <v>398</v>
      </c>
      <c r="AX2" s="181" t="s">
        <v>397</v>
      </c>
      <c r="AY2" s="181" t="s">
        <v>398</v>
      </c>
      <c r="AZ2" s="181" t="s">
        <v>397</v>
      </c>
      <c r="BA2" s="181" t="s">
        <v>398</v>
      </c>
      <c r="BB2" s="181" t="s">
        <v>397</v>
      </c>
      <c r="BC2" s="181" t="s">
        <v>398</v>
      </c>
      <c r="BD2" s="181" t="s">
        <v>397</v>
      </c>
      <c r="BE2" s="181" t="s">
        <v>398</v>
      </c>
      <c r="BF2" s="54" t="s">
        <v>399</v>
      </c>
      <c r="BG2" s="53" t="s">
        <v>220</v>
      </c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</row>
    <row r="3" spans="1:70" ht="20" x14ac:dyDescent="0.2">
      <c r="A3" s="26" t="s">
        <v>399</v>
      </c>
      <c r="B3" s="12" t="s">
        <v>220</v>
      </c>
      <c r="C3" s="12" t="s">
        <v>220</v>
      </c>
      <c r="D3" s="12" t="s">
        <v>220</v>
      </c>
      <c r="E3" s="12" t="s">
        <v>220</v>
      </c>
      <c r="F3" s="12" t="s">
        <v>220</v>
      </c>
      <c r="G3" s="12" t="s">
        <v>220</v>
      </c>
      <c r="H3" s="12" t="s">
        <v>220</v>
      </c>
      <c r="I3" s="12" t="s">
        <v>220</v>
      </c>
      <c r="J3" s="12" t="s">
        <v>220</v>
      </c>
      <c r="K3" s="12" t="s">
        <v>220</v>
      </c>
      <c r="L3" s="12" t="s">
        <v>220</v>
      </c>
      <c r="M3" s="12" t="s">
        <v>220</v>
      </c>
      <c r="N3" s="12" t="s">
        <v>220</v>
      </c>
      <c r="O3" s="12" t="s">
        <v>220</v>
      </c>
      <c r="P3" s="12" t="s">
        <v>220</v>
      </c>
      <c r="Q3" s="12" t="s">
        <v>220</v>
      </c>
      <c r="R3" s="12" t="s">
        <v>220</v>
      </c>
      <c r="S3" s="12" t="s">
        <v>220</v>
      </c>
      <c r="T3" s="12" t="s">
        <v>220</v>
      </c>
      <c r="U3" s="12" t="s">
        <v>220</v>
      </c>
      <c r="V3" s="12" t="s">
        <v>220</v>
      </c>
      <c r="W3" s="12" t="s">
        <v>220</v>
      </c>
      <c r="X3" s="12" t="s">
        <v>220</v>
      </c>
      <c r="Y3" s="12" t="s">
        <v>220</v>
      </c>
      <c r="Z3" s="12" t="s">
        <v>220</v>
      </c>
      <c r="AA3" s="12" t="s">
        <v>220</v>
      </c>
      <c r="AB3" s="12" t="s">
        <v>220</v>
      </c>
      <c r="AC3" s="12" t="s">
        <v>220</v>
      </c>
      <c r="AD3" s="12" t="s">
        <v>220</v>
      </c>
      <c r="AE3" s="12" t="s">
        <v>220</v>
      </c>
      <c r="AF3" s="12" t="s">
        <v>220</v>
      </c>
      <c r="AG3" s="12" t="s">
        <v>220</v>
      </c>
      <c r="AH3" s="12" t="s">
        <v>220</v>
      </c>
      <c r="AI3" s="12" t="s">
        <v>220</v>
      </c>
      <c r="AJ3" s="12" t="s">
        <v>220</v>
      </c>
      <c r="AK3" s="12" t="s">
        <v>220</v>
      </c>
      <c r="AL3" s="12" t="s">
        <v>220</v>
      </c>
      <c r="AM3" s="12" t="s">
        <v>220</v>
      </c>
      <c r="AN3" s="12" t="s">
        <v>220</v>
      </c>
      <c r="AO3" s="12" t="s">
        <v>220</v>
      </c>
      <c r="AP3" s="12" t="s">
        <v>220</v>
      </c>
      <c r="AQ3" s="12" t="s">
        <v>220</v>
      </c>
      <c r="AR3" s="12" t="s">
        <v>220</v>
      </c>
      <c r="AS3" s="12" t="s">
        <v>220</v>
      </c>
      <c r="AT3" s="12" t="s">
        <v>220</v>
      </c>
      <c r="AU3" s="12" t="s">
        <v>220</v>
      </c>
      <c r="AV3" s="12" t="s">
        <v>220</v>
      </c>
      <c r="AW3" s="12" t="s">
        <v>220</v>
      </c>
      <c r="AX3" s="12" t="s">
        <v>220</v>
      </c>
      <c r="AY3" s="12" t="s">
        <v>220</v>
      </c>
      <c r="AZ3" s="12" t="s">
        <v>220</v>
      </c>
      <c r="BA3" s="12" t="s">
        <v>220</v>
      </c>
      <c r="BB3" s="12" t="s">
        <v>220</v>
      </c>
      <c r="BC3" s="12" t="s">
        <v>220</v>
      </c>
      <c r="BD3" s="12" t="s">
        <v>220</v>
      </c>
      <c r="BE3" s="12" t="s">
        <v>220</v>
      </c>
      <c r="BF3" s="55" t="s">
        <v>220</v>
      </c>
      <c r="BG3" s="53" t="s">
        <v>220</v>
      </c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1:70" ht="20" x14ac:dyDescent="0.2">
      <c r="A4" s="56" t="s">
        <v>400</v>
      </c>
      <c r="B4" s="155" t="s">
        <v>336</v>
      </c>
      <c r="C4" s="155" t="s">
        <v>336</v>
      </c>
      <c r="D4" s="38" t="s">
        <v>252</v>
      </c>
      <c r="E4" s="38" t="s">
        <v>252</v>
      </c>
      <c r="F4" s="28" t="s">
        <v>243</v>
      </c>
      <c r="G4" s="28" t="s">
        <v>243</v>
      </c>
      <c r="H4" s="28" t="s">
        <v>243</v>
      </c>
      <c r="I4" s="28" t="s">
        <v>243</v>
      </c>
      <c r="J4" s="155" t="s">
        <v>336</v>
      </c>
      <c r="K4" s="57" t="s">
        <v>262</v>
      </c>
      <c r="L4" s="155" t="s">
        <v>336</v>
      </c>
      <c r="M4" s="38" t="s">
        <v>252</v>
      </c>
      <c r="N4" s="155" t="s">
        <v>336</v>
      </c>
      <c r="O4" s="155" t="s">
        <v>250</v>
      </c>
      <c r="P4" s="38" t="s">
        <v>252</v>
      </c>
      <c r="Q4" s="58" t="s">
        <v>317</v>
      </c>
      <c r="R4" s="155" t="s">
        <v>336</v>
      </c>
      <c r="S4" s="38" t="s">
        <v>252</v>
      </c>
      <c r="T4" s="28" t="s">
        <v>243</v>
      </c>
      <c r="U4" s="28" t="s">
        <v>243</v>
      </c>
      <c r="V4" s="28" t="s">
        <v>243</v>
      </c>
      <c r="W4" s="28" t="s">
        <v>243</v>
      </c>
      <c r="X4" s="155" t="s">
        <v>336</v>
      </c>
      <c r="Y4" s="155" t="s">
        <v>336</v>
      </c>
      <c r="Z4" s="155" t="s">
        <v>336</v>
      </c>
      <c r="AA4" s="38" t="s">
        <v>252</v>
      </c>
      <c r="AB4" s="155" t="s">
        <v>336</v>
      </c>
      <c r="AC4" s="155" t="s">
        <v>250</v>
      </c>
      <c r="AD4" s="38" t="s">
        <v>252</v>
      </c>
      <c r="AE4" s="59" t="s">
        <v>333</v>
      </c>
      <c r="AF4" s="38" t="s">
        <v>337</v>
      </c>
      <c r="AG4" s="155" t="s">
        <v>336</v>
      </c>
      <c r="AH4" s="28" t="s">
        <v>243</v>
      </c>
      <c r="AI4" s="28" t="s">
        <v>243</v>
      </c>
      <c r="AJ4" s="28" t="s">
        <v>243</v>
      </c>
      <c r="AK4" s="28" t="s">
        <v>243</v>
      </c>
      <c r="AL4" s="155" t="s">
        <v>336</v>
      </c>
      <c r="AM4" s="155" t="s">
        <v>336</v>
      </c>
      <c r="AN4" s="60" t="s">
        <v>310</v>
      </c>
      <c r="AO4" s="38" t="s">
        <v>252</v>
      </c>
      <c r="AP4" s="155" t="s">
        <v>258</v>
      </c>
      <c r="AQ4" s="37" t="s">
        <v>269</v>
      </c>
      <c r="AR4" s="155" t="s">
        <v>336</v>
      </c>
      <c r="AS4" s="58" t="s">
        <v>317</v>
      </c>
      <c r="AT4" s="38" t="s">
        <v>337</v>
      </c>
      <c r="AU4" s="38" t="s">
        <v>252</v>
      </c>
      <c r="AV4" s="28" t="s">
        <v>243</v>
      </c>
      <c r="AW4" s="28" t="s">
        <v>243</v>
      </c>
      <c r="AX4" s="28" t="s">
        <v>243</v>
      </c>
      <c r="AY4" s="28" t="s">
        <v>243</v>
      </c>
      <c r="AZ4" s="155" t="s">
        <v>336</v>
      </c>
      <c r="BA4" s="155" t="s">
        <v>336</v>
      </c>
      <c r="BB4" s="59" t="s">
        <v>333</v>
      </c>
      <c r="BC4" s="38" t="s">
        <v>252</v>
      </c>
      <c r="BD4" s="155" t="s">
        <v>250</v>
      </c>
      <c r="BE4" s="155" t="s">
        <v>251</v>
      </c>
      <c r="BF4" s="55" t="s">
        <v>220</v>
      </c>
      <c r="BG4" s="53" t="s">
        <v>220</v>
      </c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spans="1:70" ht="20" x14ac:dyDescent="0.2">
      <c r="A5" s="56" t="s">
        <v>401</v>
      </c>
      <c r="B5" s="38" t="s">
        <v>252</v>
      </c>
      <c r="C5" s="58" t="s">
        <v>317</v>
      </c>
      <c r="D5" s="38" t="s">
        <v>252</v>
      </c>
      <c r="E5" s="38" t="s">
        <v>252</v>
      </c>
      <c r="F5" s="28" t="s">
        <v>243</v>
      </c>
      <c r="G5" s="28" t="s">
        <v>243</v>
      </c>
      <c r="H5" s="28" t="s">
        <v>243</v>
      </c>
      <c r="I5" s="28" t="s">
        <v>243</v>
      </c>
      <c r="J5" s="38" t="s">
        <v>252</v>
      </c>
      <c r="K5" s="155" t="s">
        <v>258</v>
      </c>
      <c r="L5" s="38" t="s">
        <v>252</v>
      </c>
      <c r="M5" s="60" t="s">
        <v>310</v>
      </c>
      <c r="N5" s="155" t="s">
        <v>258</v>
      </c>
      <c r="O5" s="155" t="s">
        <v>250</v>
      </c>
      <c r="P5" s="60" t="s">
        <v>321</v>
      </c>
      <c r="Q5" s="58" t="s">
        <v>317</v>
      </c>
      <c r="R5" s="38" t="s">
        <v>252</v>
      </c>
      <c r="S5" s="38" t="s">
        <v>252</v>
      </c>
      <c r="T5" s="28" t="s">
        <v>243</v>
      </c>
      <c r="U5" s="28" t="s">
        <v>243</v>
      </c>
      <c r="V5" s="28" t="s">
        <v>243</v>
      </c>
      <c r="W5" s="28" t="s">
        <v>243</v>
      </c>
      <c r="X5" s="38" t="s">
        <v>252</v>
      </c>
      <c r="Y5" s="60" t="s">
        <v>310</v>
      </c>
      <c r="Z5" s="61" t="s">
        <v>334</v>
      </c>
      <c r="AA5" s="38" t="s">
        <v>252</v>
      </c>
      <c r="AB5" s="155" t="s">
        <v>258</v>
      </c>
      <c r="AC5" s="155" t="s">
        <v>250</v>
      </c>
      <c r="AD5" s="38" t="s">
        <v>252</v>
      </c>
      <c r="AE5" s="38" t="s">
        <v>252</v>
      </c>
      <c r="AF5" s="59" t="s">
        <v>333</v>
      </c>
      <c r="AG5" s="38" t="s">
        <v>252</v>
      </c>
      <c r="AH5" s="28" t="s">
        <v>243</v>
      </c>
      <c r="AI5" s="28" t="s">
        <v>243</v>
      </c>
      <c r="AJ5" s="28" t="s">
        <v>243</v>
      </c>
      <c r="AK5" s="28" t="s">
        <v>243</v>
      </c>
      <c r="AL5" s="38" t="s">
        <v>252</v>
      </c>
      <c r="AM5" s="60" t="s">
        <v>310</v>
      </c>
      <c r="AN5" s="38" t="s">
        <v>252</v>
      </c>
      <c r="AO5" s="60" t="s">
        <v>310</v>
      </c>
      <c r="AP5" s="155" t="s">
        <v>258</v>
      </c>
      <c r="AQ5" s="37" t="s">
        <v>269</v>
      </c>
      <c r="AR5" s="38" t="s">
        <v>252</v>
      </c>
      <c r="AS5" s="60" t="s">
        <v>321</v>
      </c>
      <c r="AT5" s="155" t="s">
        <v>258</v>
      </c>
      <c r="AU5" s="38" t="s">
        <v>252</v>
      </c>
      <c r="AV5" s="28" t="s">
        <v>243</v>
      </c>
      <c r="AW5" s="28" t="s">
        <v>243</v>
      </c>
      <c r="AX5" s="28" t="s">
        <v>243</v>
      </c>
      <c r="AY5" s="28" t="s">
        <v>243</v>
      </c>
      <c r="AZ5" s="38" t="s">
        <v>252</v>
      </c>
      <c r="BA5" s="57" t="s">
        <v>262</v>
      </c>
      <c r="BB5" s="38" t="s">
        <v>252</v>
      </c>
      <c r="BC5" s="60" t="s">
        <v>310</v>
      </c>
      <c r="BD5" s="155" t="s">
        <v>250</v>
      </c>
      <c r="BE5" s="155" t="s">
        <v>251</v>
      </c>
      <c r="BF5" s="55" t="s">
        <v>402</v>
      </c>
      <c r="BG5" s="53" t="s">
        <v>220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 spans="1:70" ht="20" x14ac:dyDescent="0.2">
      <c r="A6" s="56" t="s">
        <v>403</v>
      </c>
      <c r="B6" s="62" t="s">
        <v>209</v>
      </c>
      <c r="C6" s="62" t="s">
        <v>209</v>
      </c>
      <c r="D6" s="62" t="s">
        <v>209</v>
      </c>
      <c r="E6" s="62" t="s">
        <v>209</v>
      </c>
      <c r="F6" s="62" t="s">
        <v>209</v>
      </c>
      <c r="G6" s="62" t="s">
        <v>209</v>
      </c>
      <c r="H6" s="62" t="s">
        <v>209</v>
      </c>
      <c r="I6" s="62" t="s">
        <v>209</v>
      </c>
      <c r="J6" s="62" t="s">
        <v>209</v>
      </c>
      <c r="K6" s="38" t="s">
        <v>316</v>
      </c>
      <c r="L6" s="62" t="s">
        <v>209</v>
      </c>
      <c r="M6" s="62" t="s">
        <v>209</v>
      </c>
      <c r="N6" s="62" t="s">
        <v>209</v>
      </c>
      <c r="O6" s="62" t="s">
        <v>209</v>
      </c>
      <c r="P6" s="62" t="s">
        <v>209</v>
      </c>
      <c r="Q6" s="62" t="s">
        <v>209</v>
      </c>
      <c r="R6" s="62" t="s">
        <v>209</v>
      </c>
      <c r="S6" s="62" t="s">
        <v>209</v>
      </c>
      <c r="T6" s="62" t="s">
        <v>209</v>
      </c>
      <c r="U6" s="62" t="s">
        <v>209</v>
      </c>
      <c r="V6" s="62" t="s">
        <v>209</v>
      </c>
      <c r="W6" s="62" t="s">
        <v>209</v>
      </c>
      <c r="X6" s="62" t="s">
        <v>209</v>
      </c>
      <c r="Y6" s="38" t="s">
        <v>316</v>
      </c>
      <c r="Z6" s="62" t="s">
        <v>209</v>
      </c>
      <c r="AA6" s="62" t="s">
        <v>209</v>
      </c>
      <c r="AB6" s="62" t="s">
        <v>209</v>
      </c>
      <c r="AC6" s="62" t="s">
        <v>209</v>
      </c>
      <c r="AD6" s="62" t="s">
        <v>209</v>
      </c>
      <c r="AE6" s="62" t="s">
        <v>209</v>
      </c>
      <c r="AF6" s="62" t="s">
        <v>209</v>
      </c>
      <c r="AG6" s="62" t="s">
        <v>209</v>
      </c>
      <c r="AH6" s="62" t="s">
        <v>209</v>
      </c>
      <c r="AI6" s="62" t="s">
        <v>209</v>
      </c>
      <c r="AJ6" s="62" t="s">
        <v>209</v>
      </c>
      <c r="AK6" s="62" t="s">
        <v>209</v>
      </c>
      <c r="AL6" s="62" t="s">
        <v>209</v>
      </c>
      <c r="AM6" s="38" t="s">
        <v>316</v>
      </c>
      <c r="AN6" s="62" t="s">
        <v>209</v>
      </c>
      <c r="AO6" s="62" t="s">
        <v>209</v>
      </c>
      <c r="AP6" s="62" t="s">
        <v>209</v>
      </c>
      <c r="AQ6" s="62" t="s">
        <v>209</v>
      </c>
      <c r="AR6" s="62" t="s">
        <v>209</v>
      </c>
      <c r="AS6" s="62" t="s">
        <v>209</v>
      </c>
      <c r="AT6" s="62" t="s">
        <v>209</v>
      </c>
      <c r="AU6" s="62" t="s">
        <v>209</v>
      </c>
      <c r="AV6" s="62" t="s">
        <v>209</v>
      </c>
      <c r="AW6" s="62" t="s">
        <v>209</v>
      </c>
      <c r="AX6" s="62" t="s">
        <v>209</v>
      </c>
      <c r="AY6" s="62" t="s">
        <v>209</v>
      </c>
      <c r="AZ6" s="62" t="s">
        <v>209</v>
      </c>
      <c r="BA6" s="38" t="s">
        <v>316</v>
      </c>
      <c r="BB6" s="62" t="s">
        <v>209</v>
      </c>
      <c r="BC6" s="62" t="s">
        <v>209</v>
      </c>
      <c r="BD6" s="62" t="s">
        <v>209</v>
      </c>
      <c r="BE6" s="62" t="s">
        <v>209</v>
      </c>
      <c r="BF6" s="55" t="s">
        <v>220</v>
      </c>
      <c r="BG6" s="53" t="s">
        <v>220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spans="1:70" ht="20" x14ac:dyDescent="0.2">
      <c r="A7" s="56" t="s">
        <v>404</v>
      </c>
      <c r="B7" s="155" t="s">
        <v>335</v>
      </c>
      <c r="C7" s="38" t="s">
        <v>252</v>
      </c>
      <c r="D7" s="155" t="s">
        <v>335</v>
      </c>
      <c r="E7" s="38" t="s">
        <v>252</v>
      </c>
      <c r="F7" s="28" t="s">
        <v>243</v>
      </c>
      <c r="G7" s="28" t="s">
        <v>243</v>
      </c>
      <c r="H7" s="28" t="s">
        <v>243</v>
      </c>
      <c r="I7" s="28" t="s">
        <v>243</v>
      </c>
      <c r="J7" s="155" t="s">
        <v>335</v>
      </c>
      <c r="K7" s="38" t="s">
        <v>252</v>
      </c>
      <c r="L7" s="155" t="s">
        <v>335</v>
      </c>
      <c r="M7" s="155" t="s">
        <v>335</v>
      </c>
      <c r="N7" s="155" t="s">
        <v>335</v>
      </c>
      <c r="O7" s="155" t="s">
        <v>250</v>
      </c>
      <c r="P7" s="155" t="s">
        <v>335</v>
      </c>
      <c r="Q7" s="38" t="s">
        <v>252</v>
      </c>
      <c r="R7" s="155" t="s">
        <v>335</v>
      </c>
      <c r="S7" s="38" t="s">
        <v>252</v>
      </c>
      <c r="T7" s="28" t="s">
        <v>243</v>
      </c>
      <c r="U7" s="28" t="s">
        <v>243</v>
      </c>
      <c r="V7" s="28" t="s">
        <v>243</v>
      </c>
      <c r="W7" s="28" t="s">
        <v>243</v>
      </c>
      <c r="X7" s="155" t="s">
        <v>335</v>
      </c>
      <c r="Y7" s="38" t="s">
        <v>252</v>
      </c>
      <c r="Z7" s="155" t="s">
        <v>335</v>
      </c>
      <c r="AA7" s="155" t="s">
        <v>335</v>
      </c>
      <c r="AB7" s="155" t="s">
        <v>335</v>
      </c>
      <c r="AC7" s="155" t="s">
        <v>250</v>
      </c>
      <c r="AD7" s="38" t="s">
        <v>252</v>
      </c>
      <c r="AE7" s="155" t="s">
        <v>335</v>
      </c>
      <c r="AF7" s="38" t="s">
        <v>252</v>
      </c>
      <c r="AG7" s="155" t="s">
        <v>335</v>
      </c>
      <c r="AH7" s="28" t="s">
        <v>243</v>
      </c>
      <c r="AI7" s="28" t="s">
        <v>243</v>
      </c>
      <c r="AJ7" s="28" t="s">
        <v>243</v>
      </c>
      <c r="AK7" s="28" t="s">
        <v>243</v>
      </c>
      <c r="AL7" s="155" t="s">
        <v>335</v>
      </c>
      <c r="AM7" s="38" t="s">
        <v>252</v>
      </c>
      <c r="AN7" s="155" t="s">
        <v>335</v>
      </c>
      <c r="AO7" s="155" t="s">
        <v>335</v>
      </c>
      <c r="AP7" s="155" t="s">
        <v>335</v>
      </c>
      <c r="AQ7" s="37" t="s">
        <v>269</v>
      </c>
      <c r="AR7" s="38" t="s">
        <v>252</v>
      </c>
      <c r="AS7" s="155" t="s">
        <v>335</v>
      </c>
      <c r="AT7" s="38" t="s">
        <v>252</v>
      </c>
      <c r="AU7" s="155" t="s">
        <v>335</v>
      </c>
      <c r="AV7" s="28" t="s">
        <v>243</v>
      </c>
      <c r="AW7" s="28" t="s">
        <v>243</v>
      </c>
      <c r="AX7" s="28" t="s">
        <v>243</v>
      </c>
      <c r="AY7" s="28" t="s">
        <v>243</v>
      </c>
      <c r="AZ7" s="155" t="s">
        <v>335</v>
      </c>
      <c r="BA7" s="38" t="s">
        <v>252</v>
      </c>
      <c r="BB7" s="155" t="s">
        <v>335</v>
      </c>
      <c r="BC7" s="155" t="s">
        <v>335</v>
      </c>
      <c r="BD7" s="155" t="s">
        <v>250</v>
      </c>
      <c r="BE7" s="155" t="s">
        <v>251</v>
      </c>
      <c r="BF7" s="55" t="s">
        <v>404</v>
      </c>
      <c r="BG7" s="53" t="s">
        <v>220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spans="1:70" ht="20" x14ac:dyDescent="0.2">
      <c r="A8" s="56" t="s">
        <v>405</v>
      </c>
      <c r="B8" s="63" t="s">
        <v>45</v>
      </c>
      <c r="C8" s="38" t="s">
        <v>312</v>
      </c>
      <c r="D8" s="36" t="s">
        <v>45</v>
      </c>
      <c r="E8" s="36" t="s">
        <v>282</v>
      </c>
      <c r="F8" s="36" t="s">
        <v>282</v>
      </c>
      <c r="G8" s="63" t="s">
        <v>45</v>
      </c>
      <c r="H8" s="63" t="s">
        <v>45</v>
      </c>
      <c r="I8" s="63" t="s">
        <v>45</v>
      </c>
      <c r="J8" s="63" t="s">
        <v>45</v>
      </c>
      <c r="K8" s="63" t="s">
        <v>45</v>
      </c>
      <c r="L8" s="63" t="s">
        <v>45</v>
      </c>
      <c r="M8" s="63" t="s">
        <v>45</v>
      </c>
      <c r="N8" s="63" t="s">
        <v>45</v>
      </c>
      <c r="O8" s="63" t="s">
        <v>45</v>
      </c>
      <c r="P8" s="63" t="s">
        <v>45</v>
      </c>
      <c r="Q8" s="63" t="s">
        <v>45</v>
      </c>
      <c r="R8" s="63" t="s">
        <v>45</v>
      </c>
      <c r="S8" s="36" t="s">
        <v>282</v>
      </c>
      <c r="T8" s="36" t="s">
        <v>282</v>
      </c>
      <c r="U8" s="36" t="s">
        <v>45</v>
      </c>
      <c r="V8" s="36" t="s">
        <v>45</v>
      </c>
      <c r="W8" s="36" t="s">
        <v>45</v>
      </c>
      <c r="X8" s="36" t="s">
        <v>45</v>
      </c>
      <c r="Y8" s="36" t="s">
        <v>45</v>
      </c>
      <c r="Z8" s="36" t="s">
        <v>45</v>
      </c>
      <c r="AA8" s="36" t="s">
        <v>45</v>
      </c>
      <c r="AB8" s="36" t="s">
        <v>45</v>
      </c>
      <c r="AC8" s="36" t="s">
        <v>45</v>
      </c>
      <c r="AD8" s="36" t="s">
        <v>256</v>
      </c>
      <c r="AE8" s="36" t="s">
        <v>256</v>
      </c>
      <c r="AF8" s="155" t="s">
        <v>332</v>
      </c>
      <c r="AG8" s="38" t="s">
        <v>252</v>
      </c>
      <c r="AH8" s="28" t="s">
        <v>243</v>
      </c>
      <c r="AI8" s="28" t="s">
        <v>243</v>
      </c>
      <c r="AJ8" s="28" t="s">
        <v>243</v>
      </c>
      <c r="AK8" s="28" t="s">
        <v>243</v>
      </c>
      <c r="AL8" s="155" t="s">
        <v>332</v>
      </c>
      <c r="AM8" s="38" t="s">
        <v>252</v>
      </c>
      <c r="AN8" s="155" t="s">
        <v>332</v>
      </c>
      <c r="AO8" s="38" t="s">
        <v>252</v>
      </c>
      <c r="AP8" s="155" t="s">
        <v>332</v>
      </c>
      <c r="AQ8" s="37" t="s">
        <v>269</v>
      </c>
      <c r="AR8" s="155" t="s">
        <v>332</v>
      </c>
      <c r="AS8" s="58" t="s">
        <v>317</v>
      </c>
      <c r="AT8" s="155" t="s">
        <v>332</v>
      </c>
      <c r="AU8" s="38" t="s">
        <v>252</v>
      </c>
      <c r="AV8" s="28" t="s">
        <v>243</v>
      </c>
      <c r="AW8" s="28" t="s">
        <v>243</v>
      </c>
      <c r="AX8" s="28" t="s">
        <v>243</v>
      </c>
      <c r="AY8" s="28" t="s">
        <v>243</v>
      </c>
      <c r="AZ8" s="155" t="s">
        <v>332</v>
      </c>
      <c r="BA8" s="38" t="s">
        <v>252</v>
      </c>
      <c r="BB8" s="155" t="s">
        <v>332</v>
      </c>
      <c r="BC8" s="38" t="s">
        <v>252</v>
      </c>
      <c r="BD8" s="155" t="s">
        <v>250</v>
      </c>
      <c r="BE8" s="155" t="s">
        <v>251</v>
      </c>
      <c r="BF8" s="56" t="s">
        <v>221</v>
      </c>
      <c r="BG8" s="53" t="s">
        <v>220</v>
      </c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spans="1:70" ht="20" x14ac:dyDescent="0.2">
      <c r="A9" s="56" t="s">
        <v>406</v>
      </c>
      <c r="B9" s="155" t="s">
        <v>155</v>
      </c>
      <c r="C9" s="155" t="s">
        <v>155</v>
      </c>
      <c r="D9" s="155" t="s">
        <v>155</v>
      </c>
      <c r="E9" s="38" t="s">
        <v>252</v>
      </c>
      <c r="F9" s="28" t="s">
        <v>243</v>
      </c>
      <c r="G9" s="28" t="s">
        <v>243</v>
      </c>
      <c r="H9" s="28" t="s">
        <v>243</v>
      </c>
      <c r="I9" s="28" t="s">
        <v>243</v>
      </c>
      <c r="J9" s="155" t="s">
        <v>155</v>
      </c>
      <c r="K9" s="155" t="s">
        <v>155</v>
      </c>
      <c r="L9" s="155" t="s">
        <v>155</v>
      </c>
      <c r="M9" s="155" t="s">
        <v>155</v>
      </c>
      <c r="N9" s="155" t="s">
        <v>155</v>
      </c>
      <c r="O9" s="155" t="s">
        <v>250</v>
      </c>
      <c r="P9" s="155" t="s">
        <v>155</v>
      </c>
      <c r="Q9" s="155" t="s">
        <v>155</v>
      </c>
      <c r="R9" s="155" t="s">
        <v>155</v>
      </c>
      <c r="S9" s="38" t="s">
        <v>252</v>
      </c>
      <c r="T9" s="28" t="s">
        <v>243</v>
      </c>
      <c r="U9" s="28" t="s">
        <v>243</v>
      </c>
      <c r="V9" s="28" t="s">
        <v>243</v>
      </c>
      <c r="W9" s="28" t="s">
        <v>243</v>
      </c>
      <c r="X9" s="155" t="s">
        <v>155</v>
      </c>
      <c r="Y9" s="155" t="s">
        <v>155</v>
      </c>
      <c r="Z9" s="155" t="s">
        <v>155</v>
      </c>
      <c r="AA9" s="155" t="s">
        <v>155</v>
      </c>
      <c r="AB9" s="155" t="s">
        <v>155</v>
      </c>
      <c r="AC9" s="155" t="s">
        <v>250</v>
      </c>
      <c r="AD9" s="63" t="s">
        <v>45</v>
      </c>
      <c r="AE9" s="38" t="s">
        <v>312</v>
      </c>
      <c r="AF9" s="36" t="s">
        <v>45</v>
      </c>
      <c r="AG9" s="36" t="s">
        <v>282</v>
      </c>
      <c r="AH9" s="63" t="s">
        <v>282</v>
      </c>
      <c r="AI9" s="63" t="s">
        <v>45</v>
      </c>
      <c r="AJ9" s="63" t="s">
        <v>45</v>
      </c>
      <c r="AK9" s="63" t="s">
        <v>45</v>
      </c>
      <c r="AL9" s="63" t="s">
        <v>45</v>
      </c>
      <c r="AM9" s="63" t="s">
        <v>45</v>
      </c>
      <c r="AN9" s="63" t="s">
        <v>45</v>
      </c>
      <c r="AO9" s="63" t="s">
        <v>45</v>
      </c>
      <c r="AP9" s="63" t="s">
        <v>45</v>
      </c>
      <c r="AQ9" s="63" t="s">
        <v>45</v>
      </c>
      <c r="AR9" s="63" t="s">
        <v>45</v>
      </c>
      <c r="AS9" s="63" t="s">
        <v>45</v>
      </c>
      <c r="AT9" s="63" t="s">
        <v>45</v>
      </c>
      <c r="AU9" s="63" t="s">
        <v>282</v>
      </c>
      <c r="AV9" s="63" t="s">
        <v>282</v>
      </c>
      <c r="AW9" s="63" t="s">
        <v>45</v>
      </c>
      <c r="AX9" s="36" t="s">
        <v>45</v>
      </c>
      <c r="AY9" s="36" t="s">
        <v>45</v>
      </c>
      <c r="AZ9" s="36" t="s">
        <v>45</v>
      </c>
      <c r="BA9" s="36" t="s">
        <v>45</v>
      </c>
      <c r="BB9" s="36" t="s">
        <v>45</v>
      </c>
      <c r="BC9" s="36" t="s">
        <v>45</v>
      </c>
      <c r="BD9" s="36" t="s">
        <v>45</v>
      </c>
      <c r="BE9" s="36" t="s">
        <v>45</v>
      </c>
      <c r="BF9" s="29" t="s">
        <v>220</v>
      </c>
      <c r="BG9" s="53" t="s">
        <v>220</v>
      </c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</row>
    <row r="10" spans="1:70" ht="20" x14ac:dyDescent="0.2">
      <c r="A10" s="56" t="s">
        <v>407</v>
      </c>
      <c r="B10" s="38" t="s">
        <v>252</v>
      </c>
      <c r="C10" s="38" t="s">
        <v>252</v>
      </c>
      <c r="D10" s="155" t="s">
        <v>408</v>
      </c>
      <c r="E10" s="155" t="s">
        <v>408</v>
      </c>
      <c r="F10" s="155" t="s">
        <v>408</v>
      </c>
      <c r="G10" s="155" t="s">
        <v>408</v>
      </c>
      <c r="H10" s="155" t="s">
        <v>408</v>
      </c>
      <c r="I10" s="155" t="s">
        <v>408</v>
      </c>
      <c r="J10" s="155" t="s">
        <v>408</v>
      </c>
      <c r="K10" s="155" t="s">
        <v>408</v>
      </c>
      <c r="L10" s="155" t="s">
        <v>408</v>
      </c>
      <c r="M10" s="155" t="s">
        <v>408</v>
      </c>
      <c r="N10" s="38" t="s">
        <v>252</v>
      </c>
      <c r="O10" s="155" t="s">
        <v>250</v>
      </c>
      <c r="P10" s="38" t="s">
        <v>252</v>
      </c>
      <c r="Q10" s="38" t="s">
        <v>252</v>
      </c>
      <c r="R10" s="155" t="s">
        <v>408</v>
      </c>
      <c r="S10" s="155" t="s">
        <v>408</v>
      </c>
      <c r="T10" s="155" t="s">
        <v>408</v>
      </c>
      <c r="U10" s="155" t="s">
        <v>408</v>
      </c>
      <c r="V10" s="155" t="s">
        <v>408</v>
      </c>
      <c r="W10" s="155" t="s">
        <v>408</v>
      </c>
      <c r="X10" s="155" t="s">
        <v>408</v>
      </c>
      <c r="Y10" s="155" t="s">
        <v>408</v>
      </c>
      <c r="Z10" s="155" t="s">
        <v>408</v>
      </c>
      <c r="AA10" s="155" t="s">
        <v>408</v>
      </c>
      <c r="AB10" s="38" t="s">
        <v>252</v>
      </c>
      <c r="AC10" s="155" t="s">
        <v>250</v>
      </c>
      <c r="AD10" s="38" t="s">
        <v>252</v>
      </c>
      <c r="AE10" s="38" t="s">
        <v>252</v>
      </c>
      <c r="AF10" s="155" t="s">
        <v>408</v>
      </c>
      <c r="AG10" s="155" t="s">
        <v>408</v>
      </c>
      <c r="AH10" s="155" t="s">
        <v>408</v>
      </c>
      <c r="AI10" s="155" t="s">
        <v>408</v>
      </c>
      <c r="AJ10" s="155" t="s">
        <v>408</v>
      </c>
      <c r="AK10" s="155" t="s">
        <v>408</v>
      </c>
      <c r="AL10" s="155" t="s">
        <v>408</v>
      </c>
      <c r="AM10" s="155" t="s">
        <v>408</v>
      </c>
      <c r="AN10" s="155" t="s">
        <v>408</v>
      </c>
      <c r="AO10" s="155" t="s">
        <v>408</v>
      </c>
      <c r="AP10" s="38" t="s">
        <v>252</v>
      </c>
      <c r="AQ10" s="37" t="s">
        <v>269</v>
      </c>
      <c r="AR10" s="38" t="s">
        <v>252</v>
      </c>
      <c r="AS10" s="38" t="s">
        <v>252</v>
      </c>
      <c r="AT10" s="155" t="s">
        <v>408</v>
      </c>
      <c r="AU10" s="155" t="s">
        <v>408</v>
      </c>
      <c r="AV10" s="155" t="s">
        <v>408</v>
      </c>
      <c r="AW10" s="155" t="s">
        <v>408</v>
      </c>
      <c r="AX10" s="155" t="s">
        <v>408</v>
      </c>
      <c r="AY10" s="155" t="s">
        <v>408</v>
      </c>
      <c r="AZ10" s="155" t="s">
        <v>408</v>
      </c>
      <c r="BA10" s="155" t="s">
        <v>408</v>
      </c>
      <c r="BB10" s="155" t="s">
        <v>408</v>
      </c>
      <c r="BC10" s="155" t="s">
        <v>408</v>
      </c>
      <c r="BD10" s="155" t="s">
        <v>250</v>
      </c>
      <c r="BE10" s="155" t="s">
        <v>251</v>
      </c>
      <c r="BF10" s="55" t="s">
        <v>409</v>
      </c>
      <c r="BG10" s="53" t="s">
        <v>220</v>
      </c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spans="1:70" ht="20" x14ac:dyDescent="0.2">
      <c r="A11" s="29" t="s">
        <v>410</v>
      </c>
      <c r="B11" s="38" t="s">
        <v>252</v>
      </c>
      <c r="C11" s="38" t="s">
        <v>252</v>
      </c>
      <c r="D11" s="38" t="s">
        <v>252</v>
      </c>
      <c r="E11" s="155" t="s">
        <v>258</v>
      </c>
      <c r="F11" s="28" t="s">
        <v>243</v>
      </c>
      <c r="G11" s="28" t="s">
        <v>243</v>
      </c>
      <c r="H11" s="35" t="s">
        <v>311</v>
      </c>
      <c r="I11" s="35" t="s">
        <v>311</v>
      </c>
      <c r="J11" s="35" t="s">
        <v>311</v>
      </c>
      <c r="K11" s="35" t="s">
        <v>311</v>
      </c>
      <c r="L11" s="35" t="s">
        <v>311</v>
      </c>
      <c r="M11" s="35" t="s">
        <v>311</v>
      </c>
      <c r="N11" s="35" t="s">
        <v>311</v>
      </c>
      <c r="O11" s="35" t="s">
        <v>311</v>
      </c>
      <c r="P11" s="35" t="s">
        <v>311</v>
      </c>
      <c r="Q11" s="35" t="s">
        <v>311</v>
      </c>
      <c r="R11" s="35" t="s">
        <v>311</v>
      </c>
      <c r="S11" s="35" t="s">
        <v>311</v>
      </c>
      <c r="T11" s="35" t="s">
        <v>311</v>
      </c>
      <c r="U11" s="35" t="s">
        <v>311</v>
      </c>
      <c r="V11" s="35" t="s">
        <v>311</v>
      </c>
      <c r="W11" s="35" t="s">
        <v>311</v>
      </c>
      <c r="X11" s="35" t="s">
        <v>311</v>
      </c>
      <c r="Y11" s="35" t="s">
        <v>311</v>
      </c>
      <c r="Z11" s="35" t="s">
        <v>311</v>
      </c>
      <c r="AA11" s="35" t="s">
        <v>311</v>
      </c>
      <c r="AB11" s="35" t="s">
        <v>311</v>
      </c>
      <c r="AC11" s="35" t="s">
        <v>311</v>
      </c>
      <c r="AD11" s="35" t="s">
        <v>311</v>
      </c>
      <c r="AE11" s="35" t="s">
        <v>311</v>
      </c>
      <c r="AF11" s="35" t="s">
        <v>311</v>
      </c>
      <c r="AG11" s="35" t="s">
        <v>311</v>
      </c>
      <c r="AH11" s="35" t="s">
        <v>311</v>
      </c>
      <c r="AI11" s="35" t="s">
        <v>311</v>
      </c>
      <c r="AJ11" s="35" t="s">
        <v>311</v>
      </c>
      <c r="AK11" s="35" t="s">
        <v>311</v>
      </c>
      <c r="AL11" s="35" t="s">
        <v>311</v>
      </c>
      <c r="AM11" s="35" t="s">
        <v>311</v>
      </c>
      <c r="AN11" s="35" t="s">
        <v>311</v>
      </c>
      <c r="AO11" s="35" t="s">
        <v>311</v>
      </c>
      <c r="AP11" s="35" t="s">
        <v>311</v>
      </c>
      <c r="AQ11" s="35" t="s">
        <v>311</v>
      </c>
      <c r="AR11" s="35" t="s">
        <v>311</v>
      </c>
      <c r="AS11" s="35" t="s">
        <v>311</v>
      </c>
      <c r="AT11" s="35" t="s">
        <v>311</v>
      </c>
      <c r="AU11" s="35" t="s">
        <v>311</v>
      </c>
      <c r="AV11" s="28" t="s">
        <v>243</v>
      </c>
      <c r="AW11" s="28" t="s">
        <v>243</v>
      </c>
      <c r="AX11" s="28" t="s">
        <v>243</v>
      </c>
      <c r="AY11" s="28" t="s">
        <v>243</v>
      </c>
      <c r="AZ11" s="155" t="s">
        <v>258</v>
      </c>
      <c r="BA11" s="38" t="s">
        <v>252</v>
      </c>
      <c r="BB11" s="38" t="s">
        <v>252</v>
      </c>
      <c r="BC11" s="38" t="s">
        <v>252</v>
      </c>
      <c r="BD11" s="155" t="s">
        <v>250</v>
      </c>
      <c r="BE11" s="155" t="s">
        <v>251</v>
      </c>
      <c r="BF11" s="29" t="s">
        <v>220</v>
      </c>
      <c r="BG11" s="53" t="s">
        <v>220</v>
      </c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</row>
    <row r="12" spans="1:70" ht="20" x14ac:dyDescent="0.2">
      <c r="A12" s="56" t="s">
        <v>411</v>
      </c>
      <c r="B12" s="155" t="s">
        <v>314</v>
      </c>
      <c r="C12" s="38" t="s">
        <v>252</v>
      </c>
      <c r="D12" s="155" t="s">
        <v>315</v>
      </c>
      <c r="E12" s="155" t="s">
        <v>315</v>
      </c>
      <c r="F12" s="28" t="s">
        <v>243</v>
      </c>
      <c r="G12" s="28" t="s">
        <v>243</v>
      </c>
      <c r="H12" s="28" t="s">
        <v>243</v>
      </c>
      <c r="I12" s="28" t="s">
        <v>243</v>
      </c>
      <c r="J12" s="38" t="s">
        <v>252</v>
      </c>
      <c r="K12" s="155" t="s">
        <v>315</v>
      </c>
      <c r="L12" s="155" t="s">
        <v>313</v>
      </c>
      <c r="M12" s="155" t="s">
        <v>313</v>
      </c>
      <c r="N12" s="155" t="s">
        <v>314</v>
      </c>
      <c r="O12" s="155" t="s">
        <v>250</v>
      </c>
      <c r="P12" s="155" t="s">
        <v>314</v>
      </c>
      <c r="Q12" s="38" t="s">
        <v>252</v>
      </c>
      <c r="R12" s="155" t="s">
        <v>315</v>
      </c>
      <c r="S12" s="155" t="s">
        <v>315</v>
      </c>
      <c r="T12" s="28" t="s">
        <v>243</v>
      </c>
      <c r="U12" s="28" t="s">
        <v>243</v>
      </c>
      <c r="V12" s="28" t="s">
        <v>243</v>
      </c>
      <c r="W12" s="28" t="s">
        <v>243</v>
      </c>
      <c r="X12" s="38" t="s">
        <v>252</v>
      </c>
      <c r="Y12" s="155" t="s">
        <v>315</v>
      </c>
      <c r="Z12" s="155" t="s">
        <v>313</v>
      </c>
      <c r="AA12" s="155" t="s">
        <v>313</v>
      </c>
      <c r="AB12" s="155" t="s">
        <v>314</v>
      </c>
      <c r="AC12" s="155" t="s">
        <v>250</v>
      </c>
      <c r="AD12" s="155" t="s">
        <v>314</v>
      </c>
      <c r="AE12" s="38" t="s">
        <v>252</v>
      </c>
      <c r="AF12" s="155" t="s">
        <v>315</v>
      </c>
      <c r="AG12" s="155" t="s">
        <v>315</v>
      </c>
      <c r="AH12" s="28" t="s">
        <v>243</v>
      </c>
      <c r="AI12" s="28" t="s">
        <v>243</v>
      </c>
      <c r="AJ12" s="28" t="s">
        <v>243</v>
      </c>
      <c r="AK12" s="28" t="s">
        <v>243</v>
      </c>
      <c r="AL12" s="38" t="s">
        <v>252</v>
      </c>
      <c r="AM12" s="155" t="s">
        <v>315</v>
      </c>
      <c r="AN12" s="155" t="s">
        <v>313</v>
      </c>
      <c r="AO12" s="155" t="s">
        <v>313</v>
      </c>
      <c r="AP12" s="155" t="s">
        <v>314</v>
      </c>
      <c r="AQ12" s="155" t="s">
        <v>250</v>
      </c>
      <c r="AR12" s="155" t="s">
        <v>314</v>
      </c>
      <c r="AS12" s="38" t="s">
        <v>252</v>
      </c>
      <c r="AT12" s="155" t="s">
        <v>315</v>
      </c>
      <c r="AU12" s="155" t="s">
        <v>315</v>
      </c>
      <c r="AV12" s="28" t="s">
        <v>243</v>
      </c>
      <c r="AW12" s="28" t="s">
        <v>243</v>
      </c>
      <c r="AX12" s="28" t="s">
        <v>243</v>
      </c>
      <c r="AY12" s="28" t="s">
        <v>243</v>
      </c>
      <c r="AZ12" s="38" t="s">
        <v>252</v>
      </c>
      <c r="BA12" s="155" t="s">
        <v>315</v>
      </c>
      <c r="BB12" s="155" t="s">
        <v>313</v>
      </c>
      <c r="BC12" s="155" t="s">
        <v>313</v>
      </c>
      <c r="BD12" s="155" t="s">
        <v>250</v>
      </c>
      <c r="BE12" s="155" t="s">
        <v>251</v>
      </c>
      <c r="BF12" s="55" t="s">
        <v>220</v>
      </c>
      <c r="BG12" s="53" t="s">
        <v>220</v>
      </c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spans="1:70" ht="20" x14ac:dyDescent="0.2">
      <c r="A13" s="56" t="s">
        <v>412</v>
      </c>
      <c r="B13" s="155" t="s">
        <v>69</v>
      </c>
      <c r="C13" s="38" t="s">
        <v>252</v>
      </c>
      <c r="D13" s="155" t="s">
        <v>69</v>
      </c>
      <c r="E13" s="38" t="s">
        <v>252</v>
      </c>
      <c r="F13" s="28" t="s">
        <v>243</v>
      </c>
      <c r="G13" s="28" t="s">
        <v>243</v>
      </c>
      <c r="H13" s="28" t="s">
        <v>243</v>
      </c>
      <c r="I13" s="28" t="s">
        <v>243</v>
      </c>
      <c r="J13" s="155" t="s">
        <v>69</v>
      </c>
      <c r="K13" s="38" t="s">
        <v>252</v>
      </c>
      <c r="L13" s="155" t="s">
        <v>69</v>
      </c>
      <c r="M13" s="38" t="s">
        <v>252</v>
      </c>
      <c r="N13" s="155" t="s">
        <v>69</v>
      </c>
      <c r="O13" s="155" t="s">
        <v>250</v>
      </c>
      <c r="P13" s="155" t="s">
        <v>69</v>
      </c>
      <c r="Q13" s="58" t="s">
        <v>317</v>
      </c>
      <c r="R13" s="155" t="s">
        <v>69</v>
      </c>
      <c r="S13" s="38" t="s">
        <v>252</v>
      </c>
      <c r="T13" s="28" t="s">
        <v>243</v>
      </c>
      <c r="U13" s="28" t="s">
        <v>243</v>
      </c>
      <c r="V13" s="28" t="s">
        <v>243</v>
      </c>
      <c r="W13" s="28" t="s">
        <v>243</v>
      </c>
      <c r="X13" s="155" t="s">
        <v>69</v>
      </c>
      <c r="Y13" s="38" t="s">
        <v>252</v>
      </c>
      <c r="Z13" s="155" t="s">
        <v>69</v>
      </c>
      <c r="AA13" s="38" t="s">
        <v>252</v>
      </c>
      <c r="AB13" s="155" t="s">
        <v>69</v>
      </c>
      <c r="AC13" s="155" t="s">
        <v>250</v>
      </c>
      <c r="AD13" s="155" t="s">
        <v>69</v>
      </c>
      <c r="AE13" s="38" t="s">
        <v>252</v>
      </c>
      <c r="AF13" s="155" t="s">
        <v>69</v>
      </c>
      <c r="AG13" s="38" t="s">
        <v>252</v>
      </c>
      <c r="AH13" s="28" t="s">
        <v>243</v>
      </c>
      <c r="AI13" s="28" t="s">
        <v>243</v>
      </c>
      <c r="AJ13" s="28" t="s">
        <v>243</v>
      </c>
      <c r="AK13" s="28" t="s">
        <v>243</v>
      </c>
      <c r="AL13" s="155" t="s">
        <v>69</v>
      </c>
      <c r="AM13" s="38" t="s">
        <v>252</v>
      </c>
      <c r="AN13" s="155" t="s">
        <v>69</v>
      </c>
      <c r="AO13" s="38" t="s">
        <v>252</v>
      </c>
      <c r="AP13" s="155" t="s">
        <v>69</v>
      </c>
      <c r="AQ13" s="37" t="s">
        <v>269</v>
      </c>
      <c r="AR13" s="155" t="s">
        <v>69</v>
      </c>
      <c r="AS13" s="58" t="s">
        <v>317</v>
      </c>
      <c r="AT13" s="155" t="s">
        <v>69</v>
      </c>
      <c r="AU13" s="38" t="s">
        <v>252</v>
      </c>
      <c r="AV13" s="28" t="s">
        <v>243</v>
      </c>
      <c r="AW13" s="28" t="s">
        <v>243</v>
      </c>
      <c r="AX13" s="28" t="s">
        <v>243</v>
      </c>
      <c r="AY13" s="28" t="s">
        <v>243</v>
      </c>
      <c r="AZ13" s="155" t="s">
        <v>69</v>
      </c>
      <c r="BA13" s="38" t="s">
        <v>252</v>
      </c>
      <c r="BB13" s="155" t="s">
        <v>69</v>
      </c>
      <c r="BC13" s="38" t="s">
        <v>252</v>
      </c>
      <c r="BD13" s="155" t="s">
        <v>250</v>
      </c>
      <c r="BE13" s="8"/>
      <c r="BF13" s="55" t="s">
        <v>220</v>
      </c>
      <c r="BG13" s="53" t="s">
        <v>220</v>
      </c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</row>
    <row r="14" spans="1:70" ht="20" x14ac:dyDescent="0.2">
      <c r="A14" s="56" t="s">
        <v>413</v>
      </c>
      <c r="B14" s="38" t="s">
        <v>252</v>
      </c>
      <c r="C14" s="60" t="s">
        <v>310</v>
      </c>
      <c r="D14" s="38" t="s">
        <v>309</v>
      </c>
      <c r="E14" s="155" t="s">
        <v>258</v>
      </c>
      <c r="F14" s="35" t="s">
        <v>311</v>
      </c>
      <c r="G14" s="35" t="s">
        <v>311</v>
      </c>
      <c r="H14" s="35" t="s">
        <v>311</v>
      </c>
      <c r="I14" s="35" t="s">
        <v>311</v>
      </c>
      <c r="J14" s="35" t="s">
        <v>311</v>
      </c>
      <c r="K14" s="35" t="s">
        <v>311</v>
      </c>
      <c r="L14" s="35" t="s">
        <v>311</v>
      </c>
      <c r="M14" s="35" t="s">
        <v>311</v>
      </c>
      <c r="N14" s="35" t="s">
        <v>311</v>
      </c>
      <c r="O14" s="35" t="s">
        <v>311</v>
      </c>
      <c r="P14" s="35" t="s">
        <v>311</v>
      </c>
      <c r="Q14" s="35" t="s">
        <v>311</v>
      </c>
      <c r="R14" s="35" t="s">
        <v>311</v>
      </c>
      <c r="S14" s="35" t="s">
        <v>311</v>
      </c>
      <c r="T14" s="35" t="s">
        <v>311</v>
      </c>
      <c r="U14" s="35" t="s">
        <v>311</v>
      </c>
      <c r="V14" s="35" t="s">
        <v>311</v>
      </c>
      <c r="W14" s="35" t="s">
        <v>311</v>
      </c>
      <c r="X14" s="35" t="s">
        <v>311</v>
      </c>
      <c r="Y14" s="35" t="s">
        <v>311</v>
      </c>
      <c r="Z14" s="35" t="s">
        <v>311</v>
      </c>
      <c r="AA14" s="35" t="s">
        <v>311</v>
      </c>
      <c r="AB14" s="35" t="s">
        <v>311</v>
      </c>
      <c r="AC14" s="35" t="s">
        <v>311</v>
      </c>
      <c r="AD14" s="35" t="s">
        <v>311</v>
      </c>
      <c r="AE14" s="35" t="s">
        <v>311</v>
      </c>
      <c r="AF14" s="35" t="s">
        <v>311</v>
      </c>
      <c r="AG14" s="35" t="s">
        <v>311</v>
      </c>
      <c r="AH14" s="35" t="s">
        <v>311</v>
      </c>
      <c r="AI14" s="35" t="s">
        <v>311</v>
      </c>
      <c r="AJ14" s="35" t="s">
        <v>311</v>
      </c>
      <c r="AK14" s="35" t="s">
        <v>311</v>
      </c>
      <c r="AL14" s="35" t="s">
        <v>311</v>
      </c>
      <c r="AM14" s="35" t="s">
        <v>311</v>
      </c>
      <c r="AN14" s="35" t="s">
        <v>311</v>
      </c>
      <c r="AO14" s="35" t="s">
        <v>311</v>
      </c>
      <c r="AP14" s="35" t="s">
        <v>311</v>
      </c>
      <c r="AQ14" s="35" t="s">
        <v>311</v>
      </c>
      <c r="AR14" s="35" t="s">
        <v>311</v>
      </c>
      <c r="AS14" s="35" t="s">
        <v>311</v>
      </c>
      <c r="AT14" s="35" t="s">
        <v>311</v>
      </c>
      <c r="AU14" s="35" t="s">
        <v>311</v>
      </c>
      <c r="AV14" s="35" t="s">
        <v>311</v>
      </c>
      <c r="AW14" s="35" t="s">
        <v>311</v>
      </c>
      <c r="AX14" s="35" t="s">
        <v>311</v>
      </c>
      <c r="AY14" s="35" t="s">
        <v>311</v>
      </c>
      <c r="AZ14" s="35" t="s">
        <v>311</v>
      </c>
      <c r="BA14" s="35" t="s">
        <v>311</v>
      </c>
      <c r="BB14" s="35" t="s">
        <v>311</v>
      </c>
      <c r="BC14" s="35" t="s">
        <v>311</v>
      </c>
      <c r="BD14" s="155" t="s">
        <v>250</v>
      </c>
      <c r="BE14" s="155" t="s">
        <v>251</v>
      </c>
      <c r="BF14" s="55" t="s">
        <v>220</v>
      </c>
      <c r="BG14" s="53" t="s">
        <v>220</v>
      </c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spans="1:70" ht="20" x14ac:dyDescent="0.2">
      <c r="A15" s="56" t="s">
        <v>220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55" t="s">
        <v>220</v>
      </c>
      <c r="BG15" s="53" t="s">
        <v>220</v>
      </c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</row>
    <row r="16" spans="1:70" ht="20" x14ac:dyDescent="0.2">
      <c r="A16" s="64" t="s">
        <v>220</v>
      </c>
      <c r="B16" s="18" t="s">
        <v>220</v>
      </c>
      <c r="C16" s="18" t="s">
        <v>220</v>
      </c>
      <c r="D16" s="18" t="s">
        <v>220</v>
      </c>
      <c r="E16" s="18" t="s">
        <v>220</v>
      </c>
      <c r="F16" s="18" t="s">
        <v>220</v>
      </c>
      <c r="G16" s="18" t="s">
        <v>220</v>
      </c>
      <c r="H16" s="18" t="s">
        <v>220</v>
      </c>
      <c r="I16" s="18" t="s">
        <v>220</v>
      </c>
      <c r="J16" s="18" t="s">
        <v>220</v>
      </c>
      <c r="K16" s="18" t="s">
        <v>220</v>
      </c>
      <c r="L16" s="18" t="s">
        <v>220</v>
      </c>
      <c r="M16" s="18" t="s">
        <v>220</v>
      </c>
      <c r="N16" s="18" t="s">
        <v>220</v>
      </c>
      <c r="O16" s="18" t="s">
        <v>220</v>
      </c>
      <c r="P16" s="18" t="s">
        <v>220</v>
      </c>
      <c r="Q16" s="18" t="s">
        <v>220</v>
      </c>
      <c r="R16" s="18" t="s">
        <v>220</v>
      </c>
      <c r="S16" s="18" t="s">
        <v>220</v>
      </c>
      <c r="T16" s="18" t="s">
        <v>220</v>
      </c>
      <c r="U16" s="18" t="s">
        <v>220</v>
      </c>
      <c r="V16" s="18" t="s">
        <v>220</v>
      </c>
      <c r="W16" s="18" t="s">
        <v>220</v>
      </c>
      <c r="X16" s="18" t="s">
        <v>220</v>
      </c>
      <c r="Y16" s="18" t="s">
        <v>220</v>
      </c>
      <c r="Z16" s="18" t="s">
        <v>220</v>
      </c>
      <c r="AA16" s="18" t="s">
        <v>220</v>
      </c>
      <c r="AB16" s="18" t="s">
        <v>220</v>
      </c>
      <c r="AC16" s="18" t="s">
        <v>220</v>
      </c>
      <c r="AD16" s="18" t="s">
        <v>220</v>
      </c>
      <c r="AE16" s="18" t="s">
        <v>220</v>
      </c>
      <c r="AF16" s="18" t="s">
        <v>220</v>
      </c>
      <c r="AG16" s="18" t="s">
        <v>220</v>
      </c>
      <c r="AH16" s="18" t="s">
        <v>220</v>
      </c>
      <c r="AI16" s="18" t="s">
        <v>220</v>
      </c>
      <c r="AJ16" s="18" t="s">
        <v>220</v>
      </c>
      <c r="AK16" s="18" t="s">
        <v>220</v>
      </c>
      <c r="AL16" s="18" t="s">
        <v>220</v>
      </c>
      <c r="AM16" s="18" t="s">
        <v>220</v>
      </c>
      <c r="AN16" s="18" t="s">
        <v>220</v>
      </c>
      <c r="AO16" s="18" t="s">
        <v>220</v>
      </c>
      <c r="AP16" s="18" t="s">
        <v>220</v>
      </c>
      <c r="AQ16" s="18" t="s">
        <v>220</v>
      </c>
      <c r="AR16" s="18" t="s">
        <v>220</v>
      </c>
      <c r="AS16" s="18" t="s">
        <v>220</v>
      </c>
      <c r="AT16" s="18" t="s">
        <v>220</v>
      </c>
      <c r="AU16" s="18" t="s">
        <v>220</v>
      </c>
      <c r="AV16" s="18" t="s">
        <v>220</v>
      </c>
      <c r="AW16" s="18" t="s">
        <v>220</v>
      </c>
      <c r="AX16" s="18" t="s">
        <v>220</v>
      </c>
      <c r="AY16" s="18" t="s">
        <v>220</v>
      </c>
      <c r="AZ16" s="18" t="s">
        <v>220</v>
      </c>
      <c r="BA16" s="18" t="s">
        <v>220</v>
      </c>
      <c r="BB16" s="18" t="s">
        <v>220</v>
      </c>
      <c r="BC16" s="18" t="s">
        <v>220</v>
      </c>
      <c r="BD16" s="18" t="s">
        <v>220</v>
      </c>
      <c r="BE16" s="18" t="s">
        <v>220</v>
      </c>
      <c r="BF16" s="55" t="s">
        <v>220</v>
      </c>
      <c r="BG16" s="53" t="s">
        <v>220</v>
      </c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" ht="20" x14ac:dyDescent="0.2">
      <c r="A17" s="26" t="s">
        <v>414</v>
      </c>
      <c r="B17" s="12" t="s">
        <v>220</v>
      </c>
      <c r="C17" s="12" t="s">
        <v>220</v>
      </c>
      <c r="D17" s="12" t="s">
        <v>220</v>
      </c>
      <c r="E17" s="12" t="s">
        <v>220</v>
      </c>
      <c r="F17" s="12" t="s">
        <v>220</v>
      </c>
      <c r="G17" s="12" t="s">
        <v>220</v>
      </c>
      <c r="H17" s="12" t="s">
        <v>220</v>
      </c>
      <c r="I17" s="12" t="s">
        <v>220</v>
      </c>
      <c r="J17" s="12" t="s">
        <v>220</v>
      </c>
      <c r="K17" s="12" t="s">
        <v>220</v>
      </c>
      <c r="L17" s="12" t="s">
        <v>220</v>
      </c>
      <c r="M17" s="12" t="s">
        <v>220</v>
      </c>
      <c r="N17" s="12" t="s">
        <v>220</v>
      </c>
      <c r="O17" s="12" t="s">
        <v>220</v>
      </c>
      <c r="P17" s="12" t="s">
        <v>220</v>
      </c>
      <c r="Q17" s="12" t="s">
        <v>220</v>
      </c>
      <c r="R17" s="12" t="s">
        <v>220</v>
      </c>
      <c r="S17" s="12" t="s">
        <v>220</v>
      </c>
      <c r="T17" s="12" t="s">
        <v>220</v>
      </c>
      <c r="U17" s="12" t="s">
        <v>220</v>
      </c>
      <c r="V17" s="12" t="s">
        <v>220</v>
      </c>
      <c r="W17" s="12" t="s">
        <v>220</v>
      </c>
      <c r="X17" s="12" t="s">
        <v>220</v>
      </c>
      <c r="Y17" s="12" t="s">
        <v>220</v>
      </c>
      <c r="Z17" s="12" t="s">
        <v>220</v>
      </c>
      <c r="AA17" s="12" t="s">
        <v>220</v>
      </c>
      <c r="AB17" s="12" t="s">
        <v>220</v>
      </c>
      <c r="AC17" s="12" t="s">
        <v>220</v>
      </c>
      <c r="AD17" s="12" t="s">
        <v>220</v>
      </c>
      <c r="AE17" s="12" t="s">
        <v>220</v>
      </c>
      <c r="AF17" s="12" t="s">
        <v>220</v>
      </c>
      <c r="AG17" s="12" t="s">
        <v>220</v>
      </c>
      <c r="AH17" s="12" t="s">
        <v>220</v>
      </c>
      <c r="AI17" s="12" t="s">
        <v>220</v>
      </c>
      <c r="AJ17" s="12" t="s">
        <v>220</v>
      </c>
      <c r="AK17" s="12" t="s">
        <v>220</v>
      </c>
      <c r="AL17" s="12" t="s">
        <v>220</v>
      </c>
      <c r="AM17" s="12" t="s">
        <v>220</v>
      </c>
      <c r="AN17" s="12" t="s">
        <v>220</v>
      </c>
      <c r="AO17" s="12" t="s">
        <v>220</v>
      </c>
      <c r="AP17" s="12" t="s">
        <v>220</v>
      </c>
      <c r="AQ17" s="12" t="s">
        <v>220</v>
      </c>
      <c r="AR17" s="12" t="s">
        <v>220</v>
      </c>
      <c r="AS17" s="12" t="s">
        <v>220</v>
      </c>
      <c r="AT17" s="12" t="s">
        <v>220</v>
      </c>
      <c r="AU17" s="12" t="s">
        <v>220</v>
      </c>
      <c r="AV17" s="12" t="s">
        <v>220</v>
      </c>
      <c r="AW17" s="12" t="s">
        <v>220</v>
      </c>
      <c r="AX17" s="12" t="s">
        <v>220</v>
      </c>
      <c r="AY17" s="12" t="s">
        <v>220</v>
      </c>
      <c r="AZ17" s="12" t="s">
        <v>220</v>
      </c>
      <c r="BA17" s="12" t="s">
        <v>220</v>
      </c>
      <c r="BB17" s="12" t="s">
        <v>220</v>
      </c>
      <c r="BC17" s="12" t="s">
        <v>220</v>
      </c>
      <c r="BD17" s="12" t="s">
        <v>220</v>
      </c>
      <c r="BE17" s="12" t="s">
        <v>220</v>
      </c>
      <c r="BF17" s="54" t="s">
        <v>414</v>
      </c>
      <c r="BG17" s="53" t="s">
        <v>220</v>
      </c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</row>
    <row r="18" spans="1:70" ht="20" x14ac:dyDescent="0.2">
      <c r="A18" s="65" t="s">
        <v>415</v>
      </c>
      <c r="B18" s="155" t="s">
        <v>332</v>
      </c>
      <c r="C18" s="38" t="s">
        <v>252</v>
      </c>
      <c r="D18" s="155" t="s">
        <v>332</v>
      </c>
      <c r="E18" s="38" t="s">
        <v>252</v>
      </c>
      <c r="F18" s="28" t="s">
        <v>243</v>
      </c>
      <c r="G18" s="28" t="s">
        <v>243</v>
      </c>
      <c r="H18" s="28" t="s">
        <v>243</v>
      </c>
      <c r="I18" s="28" t="s">
        <v>243</v>
      </c>
      <c r="J18" s="155" t="s">
        <v>332</v>
      </c>
      <c r="K18" s="155" t="s">
        <v>332</v>
      </c>
      <c r="L18" s="155" t="s">
        <v>332</v>
      </c>
      <c r="M18" s="155" t="s">
        <v>332</v>
      </c>
      <c r="N18" s="155" t="s">
        <v>332</v>
      </c>
      <c r="O18" s="155" t="s">
        <v>250</v>
      </c>
      <c r="P18" s="38" t="s">
        <v>252</v>
      </c>
      <c r="Q18" s="38" t="s">
        <v>252</v>
      </c>
      <c r="R18" s="155" t="s">
        <v>332</v>
      </c>
      <c r="S18" s="38" t="s">
        <v>252</v>
      </c>
      <c r="T18" s="28" t="s">
        <v>243</v>
      </c>
      <c r="U18" s="28" t="s">
        <v>243</v>
      </c>
      <c r="V18" s="28" t="s">
        <v>243</v>
      </c>
      <c r="W18" s="28" t="s">
        <v>243</v>
      </c>
      <c r="X18" s="155" t="s">
        <v>332</v>
      </c>
      <c r="Y18" s="155" t="s">
        <v>332</v>
      </c>
      <c r="Z18" s="155" t="s">
        <v>332</v>
      </c>
      <c r="AA18" s="155" t="s">
        <v>332</v>
      </c>
      <c r="AB18" s="155" t="s">
        <v>332</v>
      </c>
      <c r="AC18" s="155" t="s">
        <v>250</v>
      </c>
      <c r="AD18" s="38" t="s">
        <v>252</v>
      </c>
      <c r="AE18" s="38" t="s">
        <v>252</v>
      </c>
      <c r="AF18" s="155" t="s">
        <v>332</v>
      </c>
      <c r="AG18" s="38" t="s">
        <v>252</v>
      </c>
      <c r="AH18" s="28" t="s">
        <v>243</v>
      </c>
      <c r="AI18" s="28" t="s">
        <v>243</v>
      </c>
      <c r="AJ18" s="28" t="s">
        <v>243</v>
      </c>
      <c r="AK18" s="28" t="s">
        <v>243</v>
      </c>
      <c r="AL18" s="146" t="s">
        <v>332</v>
      </c>
      <c r="AM18" s="146" t="s">
        <v>262</v>
      </c>
      <c r="AN18" s="146" t="s">
        <v>332</v>
      </c>
      <c r="AO18" s="146" t="s">
        <v>252</v>
      </c>
      <c r="AP18" s="146" t="s">
        <v>332</v>
      </c>
      <c r="AQ18" s="146" t="s">
        <v>269</v>
      </c>
      <c r="AR18" s="146" t="s">
        <v>332</v>
      </c>
      <c r="AS18" s="146" t="s">
        <v>317</v>
      </c>
      <c r="AT18" s="146" t="s">
        <v>332</v>
      </c>
      <c r="AU18" s="146" t="s">
        <v>252</v>
      </c>
      <c r="AV18" s="146" t="s">
        <v>243</v>
      </c>
      <c r="AW18" s="146" t="s">
        <v>243</v>
      </c>
      <c r="AX18" s="146" t="s">
        <v>243</v>
      </c>
      <c r="AY18" s="146" t="s">
        <v>243</v>
      </c>
      <c r="AZ18" s="146" t="s">
        <v>332</v>
      </c>
      <c r="BA18" s="146" t="s">
        <v>252</v>
      </c>
      <c r="BB18" s="146" t="s">
        <v>332</v>
      </c>
      <c r="BC18" s="146" t="s">
        <v>252</v>
      </c>
      <c r="BD18" s="146" t="s">
        <v>250</v>
      </c>
      <c r="BE18" s="146" t="s">
        <v>251</v>
      </c>
      <c r="BF18" s="55" t="s">
        <v>220</v>
      </c>
      <c r="BG18" s="53" t="s">
        <v>220</v>
      </c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" ht="20" x14ac:dyDescent="0.2">
      <c r="A19" s="66" t="s">
        <v>416</v>
      </c>
      <c r="B19" s="155" t="s">
        <v>417</v>
      </c>
      <c r="C19" s="38" t="s">
        <v>252</v>
      </c>
      <c r="D19" s="155" t="s">
        <v>417</v>
      </c>
      <c r="E19" s="155" t="s">
        <v>417</v>
      </c>
      <c r="F19" s="28" t="s">
        <v>243</v>
      </c>
      <c r="G19" s="28" t="s">
        <v>243</v>
      </c>
      <c r="H19" s="28" t="s">
        <v>243</v>
      </c>
      <c r="I19" s="28" t="s">
        <v>243</v>
      </c>
      <c r="J19" s="38" t="s">
        <v>252</v>
      </c>
      <c r="K19" s="155" t="s">
        <v>417</v>
      </c>
      <c r="L19" s="155" t="s">
        <v>417</v>
      </c>
      <c r="M19" s="155" t="s">
        <v>417</v>
      </c>
      <c r="N19" s="155" t="s">
        <v>417</v>
      </c>
      <c r="O19" s="155" t="s">
        <v>250</v>
      </c>
      <c r="P19" s="38" t="s">
        <v>252</v>
      </c>
      <c r="Q19" s="58" t="s">
        <v>317</v>
      </c>
      <c r="R19" s="155" t="s">
        <v>417</v>
      </c>
      <c r="S19" s="38" t="s">
        <v>252</v>
      </c>
      <c r="T19" s="28" t="s">
        <v>243</v>
      </c>
      <c r="U19" s="28" t="s">
        <v>243</v>
      </c>
      <c r="V19" s="28" t="s">
        <v>243</v>
      </c>
      <c r="W19" s="28" t="s">
        <v>243</v>
      </c>
      <c r="X19" s="38" t="s">
        <v>252</v>
      </c>
      <c r="Y19" s="155" t="s">
        <v>417</v>
      </c>
      <c r="Z19" s="38" t="s">
        <v>252</v>
      </c>
      <c r="AA19" s="155" t="s">
        <v>417</v>
      </c>
      <c r="AB19" s="155" t="s">
        <v>417</v>
      </c>
      <c r="AC19" s="155" t="s">
        <v>250</v>
      </c>
      <c r="AD19" s="155" t="s">
        <v>322</v>
      </c>
      <c r="AE19" s="155" t="s">
        <v>322</v>
      </c>
      <c r="AF19" s="38" t="s">
        <v>252</v>
      </c>
      <c r="AG19" s="38" t="s">
        <v>252</v>
      </c>
      <c r="AH19" s="28" t="s">
        <v>243</v>
      </c>
      <c r="AI19" s="28" t="s">
        <v>243</v>
      </c>
      <c r="AJ19" s="28" t="s">
        <v>243</v>
      </c>
      <c r="AK19" s="28" t="s">
        <v>243</v>
      </c>
      <c r="AL19" s="155" t="s">
        <v>322</v>
      </c>
      <c r="AM19" s="155" t="s">
        <v>322</v>
      </c>
      <c r="AN19" s="38" t="s">
        <v>252</v>
      </c>
      <c r="AO19" s="38" t="s">
        <v>252</v>
      </c>
      <c r="AP19" s="155" t="s">
        <v>322</v>
      </c>
      <c r="AQ19" s="37" t="s">
        <v>269</v>
      </c>
      <c r="AR19" s="155" t="s">
        <v>322</v>
      </c>
      <c r="AS19" s="155" t="s">
        <v>322</v>
      </c>
      <c r="AT19" s="38" t="s">
        <v>252</v>
      </c>
      <c r="AU19" s="38" t="s">
        <v>252</v>
      </c>
      <c r="AV19" s="28" t="s">
        <v>243</v>
      </c>
      <c r="AW19" s="28" t="s">
        <v>243</v>
      </c>
      <c r="AX19" s="28" t="s">
        <v>243</v>
      </c>
      <c r="AY19" s="28" t="s">
        <v>243</v>
      </c>
      <c r="AZ19" s="38" t="s">
        <v>252</v>
      </c>
      <c r="BA19" s="38" t="s">
        <v>252</v>
      </c>
      <c r="BB19" s="155" t="s">
        <v>322</v>
      </c>
      <c r="BC19" s="155" t="s">
        <v>322</v>
      </c>
      <c r="BD19" s="155" t="s">
        <v>250</v>
      </c>
      <c r="BE19" s="155" t="s">
        <v>251</v>
      </c>
      <c r="BF19" s="55" t="s">
        <v>418</v>
      </c>
      <c r="BG19" s="53" t="s">
        <v>220</v>
      </c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</row>
    <row r="20" spans="1:70" ht="20" x14ac:dyDescent="0.2">
      <c r="A20" s="66" t="s">
        <v>419</v>
      </c>
      <c r="B20" s="38" t="s">
        <v>272</v>
      </c>
      <c r="C20" s="38" t="s">
        <v>272</v>
      </c>
      <c r="D20" s="155" t="s">
        <v>323</v>
      </c>
      <c r="E20" s="155" t="s">
        <v>323</v>
      </c>
      <c r="F20" s="155" t="s">
        <v>323</v>
      </c>
      <c r="G20" s="155" t="s">
        <v>323</v>
      </c>
      <c r="H20" s="155" t="s">
        <v>323</v>
      </c>
      <c r="I20" s="155" t="s">
        <v>323</v>
      </c>
      <c r="J20" s="155" t="s">
        <v>323</v>
      </c>
      <c r="K20" s="155" t="s">
        <v>323</v>
      </c>
      <c r="L20" s="155" t="s">
        <v>323</v>
      </c>
      <c r="M20" s="155" t="s">
        <v>323</v>
      </c>
      <c r="N20" s="38" t="s">
        <v>252</v>
      </c>
      <c r="O20" s="155" t="s">
        <v>250</v>
      </c>
      <c r="P20" s="38" t="s">
        <v>252</v>
      </c>
      <c r="Q20" s="38" t="s">
        <v>252</v>
      </c>
      <c r="R20" s="155" t="s">
        <v>323</v>
      </c>
      <c r="S20" s="155" t="s">
        <v>323</v>
      </c>
      <c r="T20" s="155" t="s">
        <v>323</v>
      </c>
      <c r="U20" s="155" t="s">
        <v>323</v>
      </c>
      <c r="V20" s="155" t="s">
        <v>323</v>
      </c>
      <c r="W20" s="155" t="s">
        <v>323</v>
      </c>
      <c r="X20" s="155" t="s">
        <v>323</v>
      </c>
      <c r="Y20" s="155" t="s">
        <v>323</v>
      </c>
      <c r="Z20" s="155" t="s">
        <v>323</v>
      </c>
      <c r="AA20" s="155" t="s">
        <v>323</v>
      </c>
      <c r="AB20" s="38" t="s">
        <v>252</v>
      </c>
      <c r="AC20" s="155" t="s">
        <v>250</v>
      </c>
      <c r="AD20" s="38" t="s">
        <v>252</v>
      </c>
      <c r="AE20" s="38" t="s">
        <v>252</v>
      </c>
      <c r="AF20" s="155" t="s">
        <v>323</v>
      </c>
      <c r="AG20" s="155" t="s">
        <v>323</v>
      </c>
      <c r="AH20" s="155" t="s">
        <v>323</v>
      </c>
      <c r="AI20" s="155" t="s">
        <v>323</v>
      </c>
      <c r="AJ20" s="155" t="s">
        <v>323</v>
      </c>
      <c r="AK20" s="155" t="s">
        <v>323</v>
      </c>
      <c r="AL20" s="155" t="s">
        <v>323</v>
      </c>
      <c r="AM20" s="155" t="s">
        <v>323</v>
      </c>
      <c r="AN20" s="155" t="s">
        <v>323</v>
      </c>
      <c r="AO20" s="155" t="s">
        <v>323</v>
      </c>
      <c r="AP20" s="38" t="s">
        <v>252</v>
      </c>
      <c r="AQ20" s="37" t="s">
        <v>269</v>
      </c>
      <c r="AR20" s="38" t="s">
        <v>252</v>
      </c>
      <c r="AS20" s="38" t="s">
        <v>252</v>
      </c>
      <c r="AT20" s="155" t="s">
        <v>323</v>
      </c>
      <c r="AU20" s="155" t="s">
        <v>323</v>
      </c>
      <c r="AV20" s="155" t="s">
        <v>323</v>
      </c>
      <c r="AW20" s="155" t="s">
        <v>323</v>
      </c>
      <c r="AX20" s="155" t="s">
        <v>323</v>
      </c>
      <c r="AY20" s="155" t="s">
        <v>323</v>
      </c>
      <c r="AZ20" s="155" t="s">
        <v>323</v>
      </c>
      <c r="BA20" s="155" t="s">
        <v>323</v>
      </c>
      <c r="BB20" s="155" t="s">
        <v>323</v>
      </c>
      <c r="BC20" s="155" t="s">
        <v>323</v>
      </c>
      <c r="BD20" s="155" t="s">
        <v>250</v>
      </c>
      <c r="BE20" s="155" t="s">
        <v>251</v>
      </c>
      <c r="BF20" s="55" t="s">
        <v>420</v>
      </c>
      <c r="BG20" s="53" t="s">
        <v>220</v>
      </c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" ht="20" x14ac:dyDescent="0.2">
      <c r="A21" s="66" t="s">
        <v>421</v>
      </c>
      <c r="B21" s="155" t="s">
        <v>331</v>
      </c>
      <c r="C21" s="38" t="s">
        <v>252</v>
      </c>
      <c r="D21" s="60" t="s">
        <v>318</v>
      </c>
      <c r="E21" s="38" t="s">
        <v>252</v>
      </c>
      <c r="F21" s="28" t="s">
        <v>243</v>
      </c>
      <c r="G21" s="28" t="s">
        <v>243</v>
      </c>
      <c r="H21" s="28" t="s">
        <v>243</v>
      </c>
      <c r="I21" s="28" t="s">
        <v>243</v>
      </c>
      <c r="J21" s="38" t="s">
        <v>252</v>
      </c>
      <c r="K21" s="60" t="s">
        <v>310</v>
      </c>
      <c r="L21" s="155" t="s">
        <v>319</v>
      </c>
      <c r="M21" s="38" t="s">
        <v>252</v>
      </c>
      <c r="N21" s="155" t="s">
        <v>320</v>
      </c>
      <c r="O21" s="155" t="s">
        <v>250</v>
      </c>
      <c r="P21" s="60" t="s">
        <v>321</v>
      </c>
      <c r="Q21" s="58" t="s">
        <v>317</v>
      </c>
      <c r="R21" s="38" t="s">
        <v>252</v>
      </c>
      <c r="S21" s="38" t="s">
        <v>252</v>
      </c>
      <c r="T21" s="28" t="s">
        <v>243</v>
      </c>
      <c r="U21" s="28" t="s">
        <v>243</v>
      </c>
      <c r="V21" s="28" t="s">
        <v>243</v>
      </c>
      <c r="W21" s="28" t="s">
        <v>243</v>
      </c>
      <c r="X21" s="60" t="s">
        <v>318</v>
      </c>
      <c r="Y21" s="38" t="s">
        <v>252</v>
      </c>
      <c r="Z21" s="38" t="s">
        <v>252</v>
      </c>
      <c r="AA21" s="38" t="s">
        <v>252</v>
      </c>
      <c r="AB21" s="155" t="s">
        <v>320</v>
      </c>
      <c r="AC21" s="155" t="s">
        <v>250</v>
      </c>
      <c r="AD21" s="59" t="s">
        <v>333</v>
      </c>
      <c r="AE21" s="60" t="s">
        <v>310</v>
      </c>
      <c r="AF21" s="38" t="s">
        <v>252</v>
      </c>
      <c r="AG21" s="38" t="s">
        <v>252</v>
      </c>
      <c r="AH21" s="28" t="s">
        <v>243</v>
      </c>
      <c r="AI21" s="28" t="s">
        <v>243</v>
      </c>
      <c r="AJ21" s="28" t="s">
        <v>243</v>
      </c>
      <c r="AK21" s="28" t="s">
        <v>243</v>
      </c>
      <c r="AL21" s="38" t="s">
        <v>252</v>
      </c>
      <c r="AM21" s="60" t="s">
        <v>310</v>
      </c>
      <c r="AN21" s="38" t="s">
        <v>252</v>
      </c>
      <c r="AO21" s="61" t="s">
        <v>338</v>
      </c>
      <c r="AP21" s="155" t="s">
        <v>320</v>
      </c>
      <c r="AQ21" s="37" t="s">
        <v>269</v>
      </c>
      <c r="AR21" s="38" t="s">
        <v>252</v>
      </c>
      <c r="AS21" s="38" t="s">
        <v>252</v>
      </c>
      <c r="AT21" s="60" t="s">
        <v>321</v>
      </c>
      <c r="AU21" s="38" t="s">
        <v>252</v>
      </c>
      <c r="AV21" s="28" t="s">
        <v>243</v>
      </c>
      <c r="AW21" s="28" t="s">
        <v>243</v>
      </c>
      <c r="AX21" s="28" t="s">
        <v>243</v>
      </c>
      <c r="AY21" s="28" t="s">
        <v>243</v>
      </c>
      <c r="AZ21" s="38" t="s">
        <v>252</v>
      </c>
      <c r="BA21" s="57" t="s">
        <v>262</v>
      </c>
      <c r="BB21" s="38" t="s">
        <v>252</v>
      </c>
      <c r="BC21" s="38" t="s">
        <v>252</v>
      </c>
      <c r="BD21" s="155" t="s">
        <v>250</v>
      </c>
      <c r="BE21" s="155" t="s">
        <v>251</v>
      </c>
      <c r="BF21" s="65" t="s">
        <v>419</v>
      </c>
      <c r="BG21" s="53" t="s">
        <v>220</v>
      </c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</row>
    <row r="22" spans="1:70" ht="20" x14ac:dyDescent="0.2">
      <c r="A22" s="66" t="s">
        <v>422</v>
      </c>
      <c r="B22" s="62" t="s">
        <v>209</v>
      </c>
      <c r="C22" s="62" t="s">
        <v>209</v>
      </c>
      <c r="D22" s="62" t="s">
        <v>209</v>
      </c>
      <c r="E22" s="62" t="s">
        <v>209</v>
      </c>
      <c r="F22" s="62" t="s">
        <v>209</v>
      </c>
      <c r="G22" s="62" t="s">
        <v>209</v>
      </c>
      <c r="H22" s="62" t="s">
        <v>209</v>
      </c>
      <c r="I22" s="62" t="s">
        <v>209</v>
      </c>
      <c r="J22" s="62" t="s">
        <v>209</v>
      </c>
      <c r="K22" s="62" t="s">
        <v>209</v>
      </c>
      <c r="L22" s="62" t="s">
        <v>209</v>
      </c>
      <c r="M22" s="38" t="s">
        <v>252</v>
      </c>
      <c r="N22" s="62" t="s">
        <v>209</v>
      </c>
      <c r="O22" s="62" t="s">
        <v>209</v>
      </c>
      <c r="P22" s="62" t="s">
        <v>209</v>
      </c>
      <c r="Q22" s="62" t="s">
        <v>209</v>
      </c>
      <c r="R22" s="62" t="s">
        <v>209</v>
      </c>
      <c r="S22" s="62" t="s">
        <v>209</v>
      </c>
      <c r="T22" s="62" t="s">
        <v>209</v>
      </c>
      <c r="U22" s="62" t="s">
        <v>209</v>
      </c>
      <c r="V22" s="62" t="s">
        <v>209</v>
      </c>
      <c r="W22" s="62" t="s">
        <v>209</v>
      </c>
      <c r="X22" s="62" t="s">
        <v>209</v>
      </c>
      <c r="Y22" s="62" t="s">
        <v>209</v>
      </c>
      <c r="Z22" s="62" t="s">
        <v>209</v>
      </c>
      <c r="AA22" s="38" t="s">
        <v>252</v>
      </c>
      <c r="AB22" s="62" t="s">
        <v>209</v>
      </c>
      <c r="AC22" s="62" t="s">
        <v>209</v>
      </c>
      <c r="AD22" s="62" t="s">
        <v>209</v>
      </c>
      <c r="AE22" s="62" t="s">
        <v>209</v>
      </c>
      <c r="AF22" s="62" t="s">
        <v>209</v>
      </c>
      <c r="AG22" s="62" t="s">
        <v>209</v>
      </c>
      <c r="AH22" s="62" t="s">
        <v>209</v>
      </c>
      <c r="AI22" s="62" t="s">
        <v>209</v>
      </c>
      <c r="AJ22" s="62" t="s">
        <v>209</v>
      </c>
      <c r="AK22" s="62" t="s">
        <v>209</v>
      </c>
      <c r="AL22" s="62" t="s">
        <v>209</v>
      </c>
      <c r="AM22" s="62" t="s">
        <v>209</v>
      </c>
      <c r="AN22" s="62" t="s">
        <v>209</v>
      </c>
      <c r="AO22" s="38" t="s">
        <v>252</v>
      </c>
      <c r="AP22" s="62" t="s">
        <v>209</v>
      </c>
      <c r="AQ22" s="62" t="s">
        <v>209</v>
      </c>
      <c r="AR22" s="62" t="s">
        <v>209</v>
      </c>
      <c r="AS22" s="62" t="s">
        <v>209</v>
      </c>
      <c r="AT22" s="62" t="s">
        <v>209</v>
      </c>
      <c r="AU22" s="62" t="s">
        <v>209</v>
      </c>
      <c r="AV22" s="62" t="s">
        <v>209</v>
      </c>
      <c r="AW22" s="62" t="s">
        <v>209</v>
      </c>
      <c r="AX22" s="62" t="s">
        <v>209</v>
      </c>
      <c r="AY22" s="62" t="s">
        <v>209</v>
      </c>
      <c r="AZ22" s="62" t="s">
        <v>209</v>
      </c>
      <c r="BA22" s="62" t="s">
        <v>209</v>
      </c>
      <c r="BB22" s="62" t="s">
        <v>209</v>
      </c>
      <c r="BC22" s="38" t="s">
        <v>252</v>
      </c>
      <c r="BD22" s="62" t="s">
        <v>209</v>
      </c>
      <c r="BE22" s="62" t="s">
        <v>209</v>
      </c>
      <c r="BF22" s="55" t="s">
        <v>423</v>
      </c>
      <c r="BG22" s="53" t="s">
        <v>220</v>
      </c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</row>
    <row r="23" spans="1:70" ht="20" x14ac:dyDescent="0.2">
      <c r="A23" s="66" t="s">
        <v>424</v>
      </c>
      <c r="B23" s="155" t="s">
        <v>349</v>
      </c>
      <c r="C23" s="60" t="s">
        <v>310</v>
      </c>
      <c r="D23" s="38" t="s">
        <v>252</v>
      </c>
      <c r="E23" s="38" t="s">
        <v>252</v>
      </c>
      <c r="F23" s="28" t="s">
        <v>243</v>
      </c>
      <c r="G23" s="28" t="s">
        <v>243</v>
      </c>
      <c r="H23" s="28" t="s">
        <v>243</v>
      </c>
      <c r="I23" s="28" t="s">
        <v>243</v>
      </c>
      <c r="J23" s="155" t="s">
        <v>349</v>
      </c>
      <c r="K23" s="155" t="s">
        <v>349</v>
      </c>
      <c r="L23" s="155" t="s">
        <v>349</v>
      </c>
      <c r="M23" s="38" t="s">
        <v>252</v>
      </c>
      <c r="N23" s="155" t="s">
        <v>349</v>
      </c>
      <c r="O23" s="155" t="s">
        <v>250</v>
      </c>
      <c r="P23" s="155" t="s">
        <v>349</v>
      </c>
      <c r="Q23" s="38" t="s">
        <v>252</v>
      </c>
      <c r="R23" s="38" t="s">
        <v>252</v>
      </c>
      <c r="S23" s="38" t="s">
        <v>252</v>
      </c>
      <c r="T23" s="28" t="s">
        <v>243</v>
      </c>
      <c r="U23" s="28" t="s">
        <v>243</v>
      </c>
      <c r="V23" s="28" t="s">
        <v>243</v>
      </c>
      <c r="W23" s="28" t="s">
        <v>243</v>
      </c>
      <c r="X23" s="155" t="s">
        <v>349</v>
      </c>
      <c r="Y23" s="155" t="s">
        <v>349</v>
      </c>
      <c r="Z23" s="155" t="s">
        <v>349</v>
      </c>
      <c r="AA23" s="60" t="s">
        <v>310</v>
      </c>
      <c r="AB23" s="155" t="s">
        <v>349</v>
      </c>
      <c r="AC23" s="155" t="s">
        <v>250</v>
      </c>
      <c r="AD23" s="155" t="s">
        <v>349</v>
      </c>
      <c r="AE23" s="58" t="s">
        <v>317</v>
      </c>
      <c r="AF23" s="38" t="s">
        <v>252</v>
      </c>
      <c r="AG23" s="38" t="s">
        <v>252</v>
      </c>
      <c r="AH23" s="28" t="s">
        <v>243</v>
      </c>
      <c r="AI23" s="28" t="s">
        <v>243</v>
      </c>
      <c r="AJ23" s="28" t="s">
        <v>243</v>
      </c>
      <c r="AK23" s="28" t="s">
        <v>243</v>
      </c>
      <c r="AL23" s="155" t="s">
        <v>349</v>
      </c>
      <c r="AM23" s="155" t="s">
        <v>349</v>
      </c>
      <c r="AN23" s="155" t="s">
        <v>349</v>
      </c>
      <c r="AO23" s="38" t="s">
        <v>252</v>
      </c>
      <c r="AP23" s="155" t="s">
        <v>349</v>
      </c>
      <c r="AQ23" s="37" t="s">
        <v>269</v>
      </c>
      <c r="AR23" s="155" t="s">
        <v>349</v>
      </c>
      <c r="AS23" s="38" t="s">
        <v>252</v>
      </c>
      <c r="AT23" s="38" t="s">
        <v>252</v>
      </c>
      <c r="AU23" s="38" t="s">
        <v>252</v>
      </c>
      <c r="AV23" s="28" t="s">
        <v>243</v>
      </c>
      <c r="AW23" s="28" t="s">
        <v>243</v>
      </c>
      <c r="AX23" s="28" t="s">
        <v>243</v>
      </c>
      <c r="AY23" s="28" t="s">
        <v>243</v>
      </c>
      <c r="AZ23" s="155" t="s">
        <v>349</v>
      </c>
      <c r="BA23" s="155" t="s">
        <v>349</v>
      </c>
      <c r="BB23" s="155" t="s">
        <v>349</v>
      </c>
      <c r="BC23" s="38" t="s">
        <v>252</v>
      </c>
      <c r="BD23" s="155" t="s">
        <v>250</v>
      </c>
      <c r="BE23" s="155" t="s">
        <v>251</v>
      </c>
      <c r="BF23" s="55" t="s">
        <v>425</v>
      </c>
      <c r="BG23" s="53" t="s">
        <v>220</v>
      </c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</row>
    <row r="24" spans="1:70" ht="20" x14ac:dyDescent="0.2">
      <c r="A24" s="66" t="s">
        <v>426</v>
      </c>
      <c r="B24" s="63" t="s">
        <v>340</v>
      </c>
      <c r="C24" s="63" t="s">
        <v>340</v>
      </c>
      <c r="D24" s="38" t="s">
        <v>312</v>
      </c>
      <c r="E24" s="63" t="s">
        <v>256</v>
      </c>
      <c r="F24" s="28" t="s">
        <v>243</v>
      </c>
      <c r="G24" s="28" t="s">
        <v>243</v>
      </c>
      <c r="H24" s="28" t="s">
        <v>243</v>
      </c>
      <c r="I24" s="63" t="s">
        <v>340</v>
      </c>
      <c r="J24" s="63" t="s">
        <v>340</v>
      </c>
      <c r="K24" s="63" t="s">
        <v>340</v>
      </c>
      <c r="L24" s="63" t="s">
        <v>340</v>
      </c>
      <c r="M24" s="63" t="s">
        <v>340</v>
      </c>
      <c r="N24" s="63" t="s">
        <v>340</v>
      </c>
      <c r="O24" s="63" t="s">
        <v>340</v>
      </c>
      <c r="P24" s="63" t="s">
        <v>340</v>
      </c>
      <c r="Q24" s="63" t="s">
        <v>340</v>
      </c>
      <c r="R24" s="38" t="s">
        <v>312</v>
      </c>
      <c r="S24" s="63" t="s">
        <v>256</v>
      </c>
      <c r="T24" s="28" t="s">
        <v>243</v>
      </c>
      <c r="U24" s="28" t="s">
        <v>243</v>
      </c>
      <c r="V24" s="28" t="s">
        <v>243</v>
      </c>
      <c r="W24" s="63" t="s">
        <v>340</v>
      </c>
      <c r="X24" s="63" t="s">
        <v>340</v>
      </c>
      <c r="Y24" s="63" t="s">
        <v>340</v>
      </c>
      <c r="Z24" s="63" t="s">
        <v>340</v>
      </c>
      <c r="AA24" s="63" t="s">
        <v>340</v>
      </c>
      <c r="AB24" s="63" t="s">
        <v>340</v>
      </c>
      <c r="AC24" s="63" t="s">
        <v>340</v>
      </c>
      <c r="AD24" s="63" t="s">
        <v>340</v>
      </c>
      <c r="AE24" s="63" t="s">
        <v>340</v>
      </c>
      <c r="AF24" s="38" t="s">
        <v>312</v>
      </c>
      <c r="AG24" s="63" t="s">
        <v>256</v>
      </c>
      <c r="AH24" s="28" t="s">
        <v>243</v>
      </c>
      <c r="AI24" s="28" t="s">
        <v>243</v>
      </c>
      <c r="AJ24" s="28" t="s">
        <v>243</v>
      </c>
      <c r="AK24" s="63" t="s">
        <v>340</v>
      </c>
      <c r="AL24" s="63" t="s">
        <v>340</v>
      </c>
      <c r="AM24" s="63" t="s">
        <v>340</v>
      </c>
      <c r="AN24" s="63" t="s">
        <v>340</v>
      </c>
      <c r="AO24" s="63" t="s">
        <v>340</v>
      </c>
      <c r="AP24" s="63" t="s">
        <v>340</v>
      </c>
      <c r="AQ24" s="63" t="s">
        <v>340</v>
      </c>
      <c r="AR24" s="63" t="s">
        <v>340</v>
      </c>
      <c r="AS24" s="63" t="s">
        <v>340</v>
      </c>
      <c r="AT24" s="38" t="s">
        <v>312</v>
      </c>
      <c r="AU24" s="63" t="s">
        <v>256</v>
      </c>
      <c r="AV24" s="28" t="s">
        <v>243</v>
      </c>
      <c r="AW24" s="28" t="s">
        <v>243</v>
      </c>
      <c r="AX24" s="28" t="s">
        <v>243</v>
      </c>
      <c r="AY24" s="63" t="s">
        <v>340</v>
      </c>
      <c r="AZ24" s="63" t="s">
        <v>340</v>
      </c>
      <c r="BA24" s="63" t="s">
        <v>340</v>
      </c>
      <c r="BB24" s="63" t="s">
        <v>340</v>
      </c>
      <c r="BC24" s="63" t="s">
        <v>340</v>
      </c>
      <c r="BD24" s="63" t="s">
        <v>340</v>
      </c>
      <c r="BE24" s="63" t="s">
        <v>340</v>
      </c>
      <c r="BF24" s="55" t="s">
        <v>427</v>
      </c>
      <c r="BG24" s="53" t="s">
        <v>220</v>
      </c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</row>
    <row r="25" spans="1:70" ht="20" x14ac:dyDescent="0.2">
      <c r="A25" s="66" t="s">
        <v>428</v>
      </c>
      <c r="B25" s="38" t="s">
        <v>252</v>
      </c>
      <c r="C25" s="155" t="s">
        <v>324</v>
      </c>
      <c r="D25" s="155" t="s">
        <v>324</v>
      </c>
      <c r="E25" s="38" t="s">
        <v>252</v>
      </c>
      <c r="F25" s="28" t="s">
        <v>243</v>
      </c>
      <c r="G25" s="28" t="s">
        <v>243</v>
      </c>
      <c r="H25" s="28" t="s">
        <v>243</v>
      </c>
      <c r="I25" s="28" t="s">
        <v>243</v>
      </c>
      <c r="J25" s="155" t="s">
        <v>324</v>
      </c>
      <c r="K25" s="57" t="s">
        <v>262</v>
      </c>
      <c r="L25" s="38" t="s">
        <v>252</v>
      </c>
      <c r="M25" s="155" t="s">
        <v>324</v>
      </c>
      <c r="N25" s="155" t="s">
        <v>324</v>
      </c>
      <c r="O25" s="155" t="s">
        <v>250</v>
      </c>
      <c r="P25" s="38" t="s">
        <v>252</v>
      </c>
      <c r="Q25" s="155" t="s">
        <v>324</v>
      </c>
      <c r="R25" s="155" t="s">
        <v>324</v>
      </c>
      <c r="S25" s="38" t="s">
        <v>252</v>
      </c>
      <c r="T25" s="28" t="s">
        <v>243</v>
      </c>
      <c r="U25" s="28" t="s">
        <v>243</v>
      </c>
      <c r="V25" s="28" t="s">
        <v>243</v>
      </c>
      <c r="W25" s="28" t="s">
        <v>243</v>
      </c>
      <c r="X25" s="155" t="s">
        <v>324</v>
      </c>
      <c r="Y25" s="38" t="s">
        <v>252</v>
      </c>
      <c r="Z25" s="155" t="s">
        <v>324</v>
      </c>
      <c r="AA25" s="38" t="s">
        <v>252</v>
      </c>
      <c r="AB25" s="155" t="s">
        <v>324</v>
      </c>
      <c r="AC25" s="155" t="s">
        <v>250</v>
      </c>
      <c r="AD25" s="155" t="s">
        <v>324</v>
      </c>
      <c r="AE25" s="58" t="s">
        <v>317</v>
      </c>
      <c r="AF25" s="155" t="s">
        <v>324</v>
      </c>
      <c r="AG25" s="38" t="s">
        <v>252</v>
      </c>
      <c r="AH25" s="28" t="s">
        <v>243</v>
      </c>
      <c r="AI25" s="28" t="s">
        <v>243</v>
      </c>
      <c r="AJ25" s="28" t="s">
        <v>243</v>
      </c>
      <c r="AK25" s="28" t="s">
        <v>243</v>
      </c>
      <c r="AL25" s="155" t="s">
        <v>324</v>
      </c>
      <c r="AM25" s="38" t="s">
        <v>252</v>
      </c>
      <c r="AN25" s="38" t="s">
        <v>252</v>
      </c>
      <c r="AO25" s="155" t="s">
        <v>324</v>
      </c>
      <c r="AP25" s="155" t="s">
        <v>324</v>
      </c>
      <c r="AQ25" s="37" t="s">
        <v>269</v>
      </c>
      <c r="AR25" s="38" t="s">
        <v>252</v>
      </c>
      <c r="AS25" s="155" t="s">
        <v>324</v>
      </c>
      <c r="AT25" s="155" t="s">
        <v>324</v>
      </c>
      <c r="AU25" s="38" t="s">
        <v>252</v>
      </c>
      <c r="AV25" s="28" t="s">
        <v>243</v>
      </c>
      <c r="AW25" s="28" t="s">
        <v>243</v>
      </c>
      <c r="AX25" s="28" t="s">
        <v>243</v>
      </c>
      <c r="AY25" s="28" t="s">
        <v>243</v>
      </c>
      <c r="AZ25" s="155" t="s">
        <v>324</v>
      </c>
      <c r="BA25" s="38" t="s">
        <v>252</v>
      </c>
      <c r="BB25" s="155" t="s">
        <v>324</v>
      </c>
      <c r="BC25" s="38" t="s">
        <v>252</v>
      </c>
      <c r="BD25" s="155" t="s">
        <v>250</v>
      </c>
      <c r="BE25" s="155" t="s">
        <v>251</v>
      </c>
      <c r="BF25" s="29" t="s">
        <v>426</v>
      </c>
      <c r="BG25" s="53" t="s">
        <v>220</v>
      </c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</row>
    <row r="26" spans="1:70" ht="20" x14ac:dyDescent="0.2">
      <c r="A26" s="65" t="s">
        <v>429</v>
      </c>
      <c r="B26" s="155" t="s">
        <v>331</v>
      </c>
      <c r="C26" s="155" t="s">
        <v>331</v>
      </c>
      <c r="D26" s="60" t="s">
        <v>310</v>
      </c>
      <c r="E26" s="38" t="s">
        <v>252</v>
      </c>
      <c r="F26" s="28" t="s">
        <v>243</v>
      </c>
      <c r="G26" s="28" t="s">
        <v>243</v>
      </c>
      <c r="H26" s="28" t="s">
        <v>243</v>
      </c>
      <c r="I26" s="28" t="s">
        <v>243</v>
      </c>
      <c r="J26" s="60" t="s">
        <v>310</v>
      </c>
      <c r="K26" s="57" t="s">
        <v>262</v>
      </c>
      <c r="L26" s="60" t="s">
        <v>318</v>
      </c>
      <c r="M26" s="38" t="s">
        <v>252</v>
      </c>
      <c r="N26" s="155" t="s">
        <v>272</v>
      </c>
      <c r="O26" s="155" t="s">
        <v>250</v>
      </c>
      <c r="P26" s="60" t="s">
        <v>310</v>
      </c>
      <c r="Q26" s="155" t="s">
        <v>258</v>
      </c>
      <c r="R26" s="60" t="s">
        <v>321</v>
      </c>
      <c r="S26" s="38" t="s">
        <v>252</v>
      </c>
      <c r="T26" s="28" t="s">
        <v>243</v>
      </c>
      <c r="U26" s="28" t="s">
        <v>243</v>
      </c>
      <c r="V26" s="28" t="s">
        <v>243</v>
      </c>
      <c r="W26" s="28" t="s">
        <v>243</v>
      </c>
      <c r="X26" s="60" t="s">
        <v>310</v>
      </c>
      <c r="Y26" s="38" t="s">
        <v>252</v>
      </c>
      <c r="Z26" s="60" t="s">
        <v>310</v>
      </c>
      <c r="AA26" s="38" t="s">
        <v>252</v>
      </c>
      <c r="AB26" s="155" t="s">
        <v>272</v>
      </c>
      <c r="AC26" s="155" t="s">
        <v>250</v>
      </c>
      <c r="AD26" s="60" t="s">
        <v>310</v>
      </c>
      <c r="AE26" s="155" t="s">
        <v>258</v>
      </c>
      <c r="AF26" s="60" t="s">
        <v>321</v>
      </c>
      <c r="AG26" s="38" t="s">
        <v>252</v>
      </c>
      <c r="AH26" s="28" t="s">
        <v>243</v>
      </c>
      <c r="AI26" s="28" t="s">
        <v>243</v>
      </c>
      <c r="AJ26" s="28" t="s">
        <v>243</v>
      </c>
      <c r="AK26" s="28" t="s">
        <v>243</v>
      </c>
      <c r="AL26" s="38" t="s">
        <v>252</v>
      </c>
      <c r="AM26" s="57" t="s">
        <v>262</v>
      </c>
      <c r="AN26" s="60" t="s">
        <v>310</v>
      </c>
      <c r="AO26" s="38" t="s">
        <v>252</v>
      </c>
      <c r="AP26" s="155" t="s">
        <v>272</v>
      </c>
      <c r="AQ26" s="37" t="s">
        <v>269</v>
      </c>
      <c r="AR26" s="60" t="s">
        <v>310</v>
      </c>
      <c r="AS26" s="38" t="s">
        <v>252</v>
      </c>
      <c r="AT26" s="60" t="s">
        <v>321</v>
      </c>
      <c r="AU26" s="38" t="s">
        <v>252</v>
      </c>
      <c r="AV26" s="28" t="s">
        <v>243</v>
      </c>
      <c r="AW26" s="28" t="s">
        <v>243</v>
      </c>
      <c r="AX26" s="28" t="s">
        <v>243</v>
      </c>
      <c r="AY26" s="28" t="s">
        <v>243</v>
      </c>
      <c r="AZ26" s="60" t="s">
        <v>310</v>
      </c>
      <c r="BA26" s="155" t="s">
        <v>324</v>
      </c>
      <c r="BB26" s="60" t="s">
        <v>310</v>
      </c>
      <c r="BC26" s="38" t="s">
        <v>252</v>
      </c>
      <c r="BD26" s="155" t="s">
        <v>250</v>
      </c>
      <c r="BE26" s="155" t="s">
        <v>251</v>
      </c>
      <c r="BF26" s="55" t="s">
        <v>339</v>
      </c>
      <c r="BG26" s="53" t="s">
        <v>220</v>
      </c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  <row r="27" spans="1:70" ht="20" x14ac:dyDescent="0.2">
      <c r="A27" s="66" t="s">
        <v>430</v>
      </c>
      <c r="B27" s="155" t="s">
        <v>81</v>
      </c>
      <c r="C27" s="58" t="s">
        <v>317</v>
      </c>
      <c r="D27" s="155" t="s">
        <v>81</v>
      </c>
      <c r="E27" s="38" t="s">
        <v>252</v>
      </c>
      <c r="F27" s="28" t="s">
        <v>243</v>
      </c>
      <c r="G27" s="28" t="s">
        <v>243</v>
      </c>
      <c r="H27" s="28" t="s">
        <v>243</v>
      </c>
      <c r="I27" s="28" t="s">
        <v>243</v>
      </c>
      <c r="J27" s="155" t="s">
        <v>81</v>
      </c>
      <c r="K27" s="38" t="s">
        <v>252</v>
      </c>
      <c r="L27" s="155" t="s">
        <v>81</v>
      </c>
      <c r="M27" s="38" t="s">
        <v>252</v>
      </c>
      <c r="N27" s="155" t="s">
        <v>268</v>
      </c>
      <c r="O27" s="155" t="s">
        <v>250</v>
      </c>
      <c r="P27" s="155" t="s">
        <v>81</v>
      </c>
      <c r="Q27" s="38" t="s">
        <v>252</v>
      </c>
      <c r="R27" s="155" t="s">
        <v>81</v>
      </c>
      <c r="S27" s="38" t="s">
        <v>252</v>
      </c>
      <c r="T27" s="28" t="s">
        <v>243</v>
      </c>
      <c r="U27" s="28" t="s">
        <v>243</v>
      </c>
      <c r="V27" s="28" t="s">
        <v>243</v>
      </c>
      <c r="W27" s="28" t="s">
        <v>243</v>
      </c>
      <c r="X27" s="155" t="s">
        <v>81</v>
      </c>
      <c r="Y27" s="67" t="s">
        <v>262</v>
      </c>
      <c r="Z27" s="155" t="s">
        <v>81</v>
      </c>
      <c r="AA27" s="38" t="s">
        <v>252</v>
      </c>
      <c r="AB27" s="155" t="s">
        <v>268</v>
      </c>
      <c r="AC27" s="155" t="s">
        <v>250</v>
      </c>
      <c r="AD27" s="155" t="s">
        <v>81</v>
      </c>
      <c r="AE27" s="38" t="s">
        <v>252</v>
      </c>
      <c r="AF27" s="155" t="s">
        <v>81</v>
      </c>
      <c r="AG27" s="38" t="s">
        <v>252</v>
      </c>
      <c r="AH27" s="28" t="s">
        <v>243</v>
      </c>
      <c r="AI27" s="28" t="s">
        <v>243</v>
      </c>
      <c r="AJ27" s="28" t="s">
        <v>243</v>
      </c>
      <c r="AK27" s="28" t="s">
        <v>243</v>
      </c>
      <c r="AL27" s="155" t="s">
        <v>81</v>
      </c>
      <c r="AM27" s="57" t="s">
        <v>262</v>
      </c>
      <c r="AN27" s="155" t="s">
        <v>81</v>
      </c>
      <c r="AO27" s="38" t="s">
        <v>252</v>
      </c>
      <c r="AP27" s="155" t="s">
        <v>268</v>
      </c>
      <c r="AQ27" s="37" t="s">
        <v>269</v>
      </c>
      <c r="AR27" s="155" t="s">
        <v>81</v>
      </c>
      <c r="AS27" s="38" t="s">
        <v>252</v>
      </c>
      <c r="AT27" s="155" t="s">
        <v>81</v>
      </c>
      <c r="AU27" s="38" t="s">
        <v>252</v>
      </c>
      <c r="AV27" s="28" t="s">
        <v>243</v>
      </c>
      <c r="AW27" s="28" t="s">
        <v>243</v>
      </c>
      <c r="AX27" s="28" t="s">
        <v>243</v>
      </c>
      <c r="AY27" s="28" t="s">
        <v>243</v>
      </c>
      <c r="AZ27" s="155" t="s">
        <v>81</v>
      </c>
      <c r="BA27" s="38" t="s">
        <v>252</v>
      </c>
      <c r="BB27" s="155" t="s">
        <v>81</v>
      </c>
      <c r="BC27" s="38" t="s">
        <v>252</v>
      </c>
      <c r="BD27" s="155" t="s">
        <v>250</v>
      </c>
      <c r="BE27" s="155" t="s">
        <v>251</v>
      </c>
      <c r="BF27" s="55" t="s">
        <v>431</v>
      </c>
      <c r="BG27" s="53" t="s">
        <v>220</v>
      </c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</row>
    <row r="28" spans="1:70" ht="20" x14ac:dyDescent="0.2">
      <c r="A28" s="68" t="s">
        <v>432</v>
      </c>
      <c r="B28" s="8" t="s">
        <v>345</v>
      </c>
      <c r="C28" s="155" t="s">
        <v>343</v>
      </c>
      <c r="D28" s="8" t="s">
        <v>345</v>
      </c>
      <c r="E28" s="38" t="s">
        <v>252</v>
      </c>
      <c r="F28" s="28" t="s">
        <v>243</v>
      </c>
      <c r="G28" s="28" t="s">
        <v>243</v>
      </c>
      <c r="H28" s="28" t="s">
        <v>243</v>
      </c>
      <c r="I28" s="28" t="s">
        <v>243</v>
      </c>
      <c r="J28" s="38" t="s">
        <v>252</v>
      </c>
      <c r="K28" s="155" t="s">
        <v>343</v>
      </c>
      <c r="L28" s="38" t="s">
        <v>252</v>
      </c>
      <c r="M28" s="155" t="s">
        <v>344</v>
      </c>
      <c r="N28" s="155" t="s">
        <v>344</v>
      </c>
      <c r="O28" s="155" t="s">
        <v>250</v>
      </c>
      <c r="P28" s="8" t="s">
        <v>345</v>
      </c>
      <c r="Q28" s="155" t="s">
        <v>343</v>
      </c>
      <c r="R28" s="8" t="s">
        <v>345</v>
      </c>
      <c r="S28" s="38" t="s">
        <v>252</v>
      </c>
      <c r="T28" s="28" t="s">
        <v>243</v>
      </c>
      <c r="U28" s="28" t="s">
        <v>243</v>
      </c>
      <c r="V28" s="28" t="s">
        <v>243</v>
      </c>
      <c r="W28" s="28" t="s">
        <v>243</v>
      </c>
      <c r="X28" s="38" t="s">
        <v>252</v>
      </c>
      <c r="Y28" s="155" t="s">
        <v>343</v>
      </c>
      <c r="Z28" s="8" t="s">
        <v>345</v>
      </c>
      <c r="AA28" s="155" t="s">
        <v>320</v>
      </c>
      <c r="AB28" s="8" t="s">
        <v>345</v>
      </c>
      <c r="AC28" s="155" t="s">
        <v>250</v>
      </c>
      <c r="AD28" s="38" t="s">
        <v>252</v>
      </c>
      <c r="AE28" s="155" t="s">
        <v>344</v>
      </c>
      <c r="AF28" s="8" t="s">
        <v>345</v>
      </c>
      <c r="AG28" s="155" t="s">
        <v>350</v>
      </c>
      <c r="AH28" s="28" t="s">
        <v>243</v>
      </c>
      <c r="AI28" s="28" t="s">
        <v>243</v>
      </c>
      <c r="AJ28" s="28" t="s">
        <v>243</v>
      </c>
      <c r="AK28" s="28" t="s">
        <v>243</v>
      </c>
      <c r="AL28" s="38" t="s">
        <v>252</v>
      </c>
      <c r="AM28" s="155" t="s">
        <v>343</v>
      </c>
      <c r="AN28" s="38" t="s">
        <v>252</v>
      </c>
      <c r="AO28" s="155" t="s">
        <v>344</v>
      </c>
      <c r="AP28" s="155" t="s">
        <v>344</v>
      </c>
      <c r="AQ28" s="37" t="s">
        <v>269</v>
      </c>
      <c r="AR28" s="38" t="s">
        <v>252</v>
      </c>
      <c r="AS28" s="155" t="s">
        <v>343</v>
      </c>
      <c r="AT28" s="155" t="s">
        <v>351</v>
      </c>
      <c r="AU28" s="38" t="s">
        <v>252</v>
      </c>
      <c r="AV28" s="28" t="s">
        <v>243</v>
      </c>
      <c r="AW28" s="28" t="s">
        <v>243</v>
      </c>
      <c r="AX28" s="28" t="s">
        <v>243</v>
      </c>
      <c r="AY28" s="28" t="s">
        <v>243</v>
      </c>
      <c r="AZ28" s="38" t="s">
        <v>252</v>
      </c>
      <c r="BA28" s="155" t="s">
        <v>343</v>
      </c>
      <c r="BB28" s="8" t="s">
        <v>345</v>
      </c>
      <c r="BC28" s="38" t="s">
        <v>252</v>
      </c>
      <c r="BD28" s="155" t="s">
        <v>250</v>
      </c>
      <c r="BE28" s="155" t="s">
        <v>251</v>
      </c>
      <c r="BF28" s="29" t="s">
        <v>220</v>
      </c>
      <c r="BG28" s="53" t="s">
        <v>220</v>
      </c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</row>
    <row r="29" spans="1:70" ht="20" x14ac:dyDescent="0.2">
      <c r="A29" s="68" t="s">
        <v>433</v>
      </c>
      <c r="B29" s="63" t="s">
        <v>45</v>
      </c>
      <c r="C29" s="38" t="s">
        <v>312</v>
      </c>
      <c r="D29" s="63" t="s">
        <v>45</v>
      </c>
      <c r="E29" s="63" t="s">
        <v>282</v>
      </c>
      <c r="F29" s="63" t="s">
        <v>282</v>
      </c>
      <c r="G29" s="63" t="s">
        <v>45</v>
      </c>
      <c r="H29" s="63" t="s">
        <v>45</v>
      </c>
      <c r="I29" s="63" t="s">
        <v>45</v>
      </c>
      <c r="J29" s="63" t="s">
        <v>45</v>
      </c>
      <c r="K29" s="63" t="s">
        <v>45</v>
      </c>
      <c r="L29" s="63" t="s">
        <v>45</v>
      </c>
      <c r="M29" s="63" t="s">
        <v>45</v>
      </c>
      <c r="N29" s="63" t="s">
        <v>45</v>
      </c>
      <c r="O29" s="63" t="s">
        <v>45</v>
      </c>
      <c r="P29" s="63" t="s">
        <v>45</v>
      </c>
      <c r="Q29" s="63" t="s">
        <v>45</v>
      </c>
      <c r="R29" s="63" t="s">
        <v>282</v>
      </c>
      <c r="S29" s="63" t="s">
        <v>282</v>
      </c>
      <c r="T29" s="63" t="s">
        <v>282</v>
      </c>
      <c r="U29" s="63" t="s">
        <v>45</v>
      </c>
      <c r="V29" s="63" t="s">
        <v>45</v>
      </c>
      <c r="W29" s="63" t="s">
        <v>45</v>
      </c>
      <c r="X29" s="63" t="s">
        <v>45</v>
      </c>
      <c r="Y29" s="63" t="s">
        <v>45</v>
      </c>
      <c r="Z29" s="63" t="s">
        <v>45</v>
      </c>
      <c r="AA29" s="63" t="s">
        <v>45</v>
      </c>
      <c r="AB29" s="63" t="s">
        <v>45</v>
      </c>
      <c r="AC29" s="63" t="s">
        <v>45</v>
      </c>
      <c r="AD29" s="63" t="s">
        <v>256</v>
      </c>
      <c r="AE29" s="63" t="s">
        <v>256</v>
      </c>
      <c r="AF29" s="155" t="s">
        <v>155</v>
      </c>
      <c r="AG29" s="38" t="s">
        <v>252</v>
      </c>
      <c r="AH29" s="155" t="s">
        <v>155</v>
      </c>
      <c r="AI29" s="155" t="s">
        <v>155</v>
      </c>
      <c r="AJ29" s="155" t="s">
        <v>155</v>
      </c>
      <c r="AK29" s="155" t="s">
        <v>155</v>
      </c>
      <c r="AL29" s="155" t="s">
        <v>155</v>
      </c>
      <c r="AM29" s="155" t="s">
        <v>155</v>
      </c>
      <c r="AN29" s="155" t="s">
        <v>155</v>
      </c>
      <c r="AO29" s="155" t="s">
        <v>155</v>
      </c>
      <c r="AP29" s="155" t="s">
        <v>155</v>
      </c>
      <c r="AQ29" s="155" t="s">
        <v>272</v>
      </c>
      <c r="AR29" s="155" t="s">
        <v>155</v>
      </c>
      <c r="AS29" s="155" t="s">
        <v>155</v>
      </c>
      <c r="AT29" s="155" t="s">
        <v>155</v>
      </c>
      <c r="AU29" s="38" t="s">
        <v>252</v>
      </c>
      <c r="AV29" s="155" t="s">
        <v>155</v>
      </c>
      <c r="AW29" s="155" t="s">
        <v>155</v>
      </c>
      <c r="AX29" s="155" t="s">
        <v>155</v>
      </c>
      <c r="AY29" s="155" t="s">
        <v>155</v>
      </c>
      <c r="AZ29" s="155" t="s">
        <v>155</v>
      </c>
      <c r="BA29" s="155" t="s">
        <v>155</v>
      </c>
      <c r="BB29" s="155" t="s">
        <v>155</v>
      </c>
      <c r="BC29" s="155" t="s">
        <v>155</v>
      </c>
      <c r="BD29" s="155" t="s">
        <v>250</v>
      </c>
      <c r="BE29" s="155" t="s">
        <v>251</v>
      </c>
      <c r="BF29" s="29" t="s">
        <v>220</v>
      </c>
      <c r="BG29" s="53" t="s">
        <v>220</v>
      </c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</row>
    <row r="30" spans="1:70" ht="20" x14ac:dyDescent="0.2">
      <c r="A30" s="68" t="s">
        <v>434</v>
      </c>
      <c r="B30" s="8" t="s">
        <v>345</v>
      </c>
      <c r="C30" s="155" t="s">
        <v>343</v>
      </c>
      <c r="D30" s="8" t="s">
        <v>345</v>
      </c>
      <c r="E30" s="38" t="s">
        <v>252</v>
      </c>
      <c r="F30" s="28" t="s">
        <v>243</v>
      </c>
      <c r="G30" s="28" t="s">
        <v>243</v>
      </c>
      <c r="H30" s="28" t="s">
        <v>243</v>
      </c>
      <c r="I30" s="28" t="s">
        <v>243</v>
      </c>
      <c r="J30" s="38" t="s">
        <v>252</v>
      </c>
      <c r="K30" s="155" t="s">
        <v>343</v>
      </c>
      <c r="L30" s="38" t="s">
        <v>252</v>
      </c>
      <c r="M30" s="155" t="s">
        <v>344</v>
      </c>
      <c r="N30" s="155" t="s">
        <v>344</v>
      </c>
      <c r="O30" s="155" t="s">
        <v>250</v>
      </c>
      <c r="P30" s="8" t="s">
        <v>345</v>
      </c>
      <c r="Q30" s="155" t="s">
        <v>343</v>
      </c>
      <c r="R30" s="8" t="s">
        <v>345</v>
      </c>
      <c r="S30" s="38" t="s">
        <v>252</v>
      </c>
      <c r="T30" s="28" t="s">
        <v>243</v>
      </c>
      <c r="U30" s="28" t="s">
        <v>243</v>
      </c>
      <c r="V30" s="28" t="s">
        <v>243</v>
      </c>
      <c r="W30" s="28" t="s">
        <v>243</v>
      </c>
      <c r="X30" s="38" t="s">
        <v>252</v>
      </c>
      <c r="Y30" s="155" t="s">
        <v>343</v>
      </c>
      <c r="Z30" s="8" t="s">
        <v>345</v>
      </c>
      <c r="AA30" s="155" t="s">
        <v>320</v>
      </c>
      <c r="AB30" s="8" t="s">
        <v>345</v>
      </c>
      <c r="AC30" s="155" t="s">
        <v>250</v>
      </c>
      <c r="AD30" s="63" t="s">
        <v>45</v>
      </c>
      <c r="AE30" s="38" t="s">
        <v>312</v>
      </c>
      <c r="AF30" s="36" t="s">
        <v>45</v>
      </c>
      <c r="AG30" s="36" t="s">
        <v>282</v>
      </c>
      <c r="AH30" s="36" t="s">
        <v>282</v>
      </c>
      <c r="AI30" s="63" t="s">
        <v>45</v>
      </c>
      <c r="AJ30" s="63" t="s">
        <v>45</v>
      </c>
      <c r="AK30" s="63" t="s">
        <v>45</v>
      </c>
      <c r="AL30" s="63" t="s">
        <v>45</v>
      </c>
      <c r="AM30" s="63" t="s">
        <v>45</v>
      </c>
      <c r="AN30" s="63" t="s">
        <v>45</v>
      </c>
      <c r="AO30" s="63" t="s">
        <v>45</v>
      </c>
      <c r="AP30" s="63" t="s">
        <v>45</v>
      </c>
      <c r="AQ30" s="63" t="s">
        <v>45</v>
      </c>
      <c r="AR30" s="63" t="s">
        <v>45</v>
      </c>
      <c r="AS30" s="63" t="s">
        <v>45</v>
      </c>
      <c r="AT30" s="63" t="s">
        <v>282</v>
      </c>
      <c r="AU30" s="63" t="s">
        <v>282</v>
      </c>
      <c r="AV30" s="63" t="s">
        <v>282</v>
      </c>
      <c r="AW30" s="63" t="s">
        <v>45</v>
      </c>
      <c r="AX30" s="36" t="s">
        <v>45</v>
      </c>
      <c r="AY30" s="36" t="s">
        <v>45</v>
      </c>
      <c r="AZ30" s="36" t="s">
        <v>45</v>
      </c>
      <c r="BA30" s="36" t="s">
        <v>45</v>
      </c>
      <c r="BB30" s="36" t="s">
        <v>45</v>
      </c>
      <c r="BC30" s="36" t="s">
        <v>45</v>
      </c>
      <c r="BD30" s="36" t="s">
        <v>45</v>
      </c>
      <c r="BE30" s="36" t="s">
        <v>45</v>
      </c>
      <c r="BF30" s="29" t="s">
        <v>220</v>
      </c>
      <c r="BG30" s="53" t="s">
        <v>220</v>
      </c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 ht="20" x14ac:dyDescent="0.2">
      <c r="A31" s="8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29" t="s">
        <v>435</v>
      </c>
      <c r="BG31" s="53" t="s">
        <v>220</v>
      </c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</row>
    <row r="32" spans="1:70" ht="20" x14ac:dyDescent="0.2">
      <c r="A32" s="12" t="s">
        <v>220</v>
      </c>
      <c r="B32" s="18" t="s">
        <v>220</v>
      </c>
      <c r="C32" s="18" t="s">
        <v>220</v>
      </c>
      <c r="D32" s="18" t="s">
        <v>220</v>
      </c>
      <c r="E32" s="18" t="s">
        <v>220</v>
      </c>
      <c r="F32" s="18" t="s">
        <v>220</v>
      </c>
      <c r="G32" s="18" t="s">
        <v>220</v>
      </c>
      <c r="H32" s="18" t="s">
        <v>220</v>
      </c>
      <c r="I32" s="18" t="s">
        <v>220</v>
      </c>
      <c r="J32" s="18" t="s">
        <v>220</v>
      </c>
      <c r="K32" s="18" t="s">
        <v>220</v>
      </c>
      <c r="L32" s="18" t="s">
        <v>220</v>
      </c>
      <c r="M32" s="18" t="s">
        <v>220</v>
      </c>
      <c r="N32" s="18" t="s">
        <v>220</v>
      </c>
      <c r="O32" s="18" t="s">
        <v>220</v>
      </c>
      <c r="P32" s="18" t="s">
        <v>220</v>
      </c>
      <c r="Q32" s="18" t="s">
        <v>220</v>
      </c>
      <c r="R32" s="18" t="s">
        <v>220</v>
      </c>
      <c r="S32" s="18" t="s">
        <v>220</v>
      </c>
      <c r="T32" s="18" t="s">
        <v>220</v>
      </c>
      <c r="U32" s="18" t="s">
        <v>220</v>
      </c>
      <c r="V32" s="18" t="s">
        <v>220</v>
      </c>
      <c r="W32" s="18" t="s">
        <v>220</v>
      </c>
      <c r="X32" s="18" t="s">
        <v>220</v>
      </c>
      <c r="Y32" s="18" t="s">
        <v>220</v>
      </c>
      <c r="Z32" s="18" t="s">
        <v>220</v>
      </c>
      <c r="AA32" s="18" t="s">
        <v>220</v>
      </c>
      <c r="AB32" s="18" t="s">
        <v>220</v>
      </c>
      <c r="AC32" s="18" t="s">
        <v>220</v>
      </c>
      <c r="AD32" s="18" t="s">
        <v>220</v>
      </c>
      <c r="AE32" s="18" t="s">
        <v>220</v>
      </c>
      <c r="AF32" s="18" t="s">
        <v>220</v>
      </c>
      <c r="AG32" s="18" t="s">
        <v>220</v>
      </c>
      <c r="AH32" s="18" t="s">
        <v>220</v>
      </c>
      <c r="AI32" s="18" t="s">
        <v>220</v>
      </c>
      <c r="AJ32" s="18" t="s">
        <v>220</v>
      </c>
      <c r="AK32" s="18" t="s">
        <v>220</v>
      </c>
      <c r="AL32" s="18" t="s">
        <v>220</v>
      </c>
      <c r="AM32" s="18" t="s">
        <v>220</v>
      </c>
      <c r="AN32" s="18" t="s">
        <v>220</v>
      </c>
      <c r="AO32" s="18" t="s">
        <v>220</v>
      </c>
      <c r="AP32" s="18" t="s">
        <v>220</v>
      </c>
      <c r="AQ32" s="18" t="s">
        <v>220</v>
      </c>
      <c r="AR32" s="18" t="s">
        <v>220</v>
      </c>
      <c r="AS32" s="18" t="s">
        <v>220</v>
      </c>
      <c r="AT32" s="18" t="s">
        <v>220</v>
      </c>
      <c r="AU32" s="18" t="s">
        <v>220</v>
      </c>
      <c r="AV32" s="18" t="s">
        <v>220</v>
      </c>
      <c r="AW32" s="18" t="s">
        <v>220</v>
      </c>
      <c r="AX32" s="18" t="s">
        <v>220</v>
      </c>
      <c r="AY32" s="18" t="s">
        <v>220</v>
      </c>
      <c r="AZ32" s="18" t="s">
        <v>220</v>
      </c>
      <c r="BA32" s="18" t="s">
        <v>220</v>
      </c>
      <c r="BB32" s="18" t="s">
        <v>220</v>
      </c>
      <c r="BC32" s="18" t="s">
        <v>220</v>
      </c>
      <c r="BD32" s="18" t="s">
        <v>220</v>
      </c>
      <c r="BE32" s="18" t="s">
        <v>220</v>
      </c>
      <c r="BF32" s="8"/>
      <c r="BG32" s="53" t="s">
        <v>220</v>
      </c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</row>
    <row r="33" spans="1:70" ht="20" x14ac:dyDescent="0.2">
      <c r="A33" s="69" t="s">
        <v>436</v>
      </c>
      <c r="B33" s="12" t="s">
        <v>220</v>
      </c>
      <c r="C33" s="12" t="s">
        <v>220</v>
      </c>
      <c r="D33" s="12" t="s">
        <v>220</v>
      </c>
      <c r="E33" s="12" t="s">
        <v>220</v>
      </c>
      <c r="F33" s="12" t="s">
        <v>220</v>
      </c>
      <c r="G33" s="12" t="s">
        <v>220</v>
      </c>
      <c r="H33" s="12" t="s">
        <v>220</v>
      </c>
      <c r="I33" s="12" t="s">
        <v>220</v>
      </c>
      <c r="J33" s="12" t="s">
        <v>220</v>
      </c>
      <c r="K33" s="12" t="s">
        <v>220</v>
      </c>
      <c r="L33" s="12" t="s">
        <v>220</v>
      </c>
      <c r="M33" s="12" t="s">
        <v>220</v>
      </c>
      <c r="N33" s="12" t="s">
        <v>220</v>
      </c>
      <c r="O33" s="12" t="s">
        <v>220</v>
      </c>
      <c r="P33" s="12" t="s">
        <v>220</v>
      </c>
      <c r="Q33" s="12" t="s">
        <v>220</v>
      </c>
      <c r="R33" s="12" t="s">
        <v>220</v>
      </c>
      <c r="S33" s="12" t="s">
        <v>220</v>
      </c>
      <c r="T33" s="12" t="s">
        <v>220</v>
      </c>
      <c r="U33" s="12" t="s">
        <v>220</v>
      </c>
      <c r="V33" s="12" t="s">
        <v>220</v>
      </c>
      <c r="W33" s="12" t="s">
        <v>220</v>
      </c>
      <c r="X33" s="12" t="s">
        <v>220</v>
      </c>
      <c r="Y33" s="12" t="s">
        <v>220</v>
      </c>
      <c r="Z33" s="12" t="s">
        <v>220</v>
      </c>
      <c r="AA33" s="12" t="s">
        <v>220</v>
      </c>
      <c r="AB33" s="12" t="s">
        <v>220</v>
      </c>
      <c r="AC33" s="12" t="s">
        <v>220</v>
      </c>
      <c r="AD33" s="12" t="s">
        <v>220</v>
      </c>
      <c r="AE33" s="12" t="s">
        <v>220</v>
      </c>
      <c r="AF33" s="12" t="s">
        <v>220</v>
      </c>
      <c r="AG33" s="12" t="s">
        <v>220</v>
      </c>
      <c r="AH33" s="12" t="s">
        <v>220</v>
      </c>
      <c r="AI33" s="12" t="s">
        <v>220</v>
      </c>
      <c r="AJ33" s="12" t="s">
        <v>220</v>
      </c>
      <c r="AK33" s="12" t="s">
        <v>220</v>
      </c>
      <c r="AL33" s="12" t="s">
        <v>220</v>
      </c>
      <c r="AM33" s="12" t="s">
        <v>220</v>
      </c>
      <c r="AN33" s="12" t="s">
        <v>220</v>
      </c>
      <c r="AO33" s="12" t="s">
        <v>220</v>
      </c>
      <c r="AP33" s="12" t="s">
        <v>220</v>
      </c>
      <c r="AQ33" s="12" t="s">
        <v>220</v>
      </c>
      <c r="AR33" s="12" t="s">
        <v>220</v>
      </c>
      <c r="AS33" s="12" t="s">
        <v>220</v>
      </c>
      <c r="AT33" s="12" t="s">
        <v>220</v>
      </c>
      <c r="AU33" s="12" t="s">
        <v>220</v>
      </c>
      <c r="AV33" s="12" t="s">
        <v>220</v>
      </c>
      <c r="AW33" s="12" t="s">
        <v>220</v>
      </c>
      <c r="AX33" s="12" t="s">
        <v>220</v>
      </c>
      <c r="AY33" s="12" t="s">
        <v>220</v>
      </c>
      <c r="AZ33" s="12" t="s">
        <v>220</v>
      </c>
      <c r="BA33" s="12" t="s">
        <v>220</v>
      </c>
      <c r="BB33" s="12" t="s">
        <v>220</v>
      </c>
      <c r="BC33" s="12" t="s">
        <v>220</v>
      </c>
      <c r="BD33" s="12" t="s">
        <v>220</v>
      </c>
      <c r="BE33" s="12" t="s">
        <v>220</v>
      </c>
      <c r="BF33" s="70" t="s">
        <v>437</v>
      </c>
      <c r="BG33" s="53" t="s">
        <v>220</v>
      </c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</row>
    <row r="34" spans="1:70" ht="20" x14ac:dyDescent="0.2">
      <c r="A34" s="65" t="s">
        <v>438</v>
      </c>
      <c r="B34" s="155" t="s">
        <v>323</v>
      </c>
      <c r="C34" s="155" t="s">
        <v>323</v>
      </c>
      <c r="D34" s="155" t="s">
        <v>323</v>
      </c>
      <c r="E34" s="155" t="s">
        <v>323</v>
      </c>
      <c r="F34" s="155" t="s">
        <v>323</v>
      </c>
      <c r="G34" s="155" t="s">
        <v>323</v>
      </c>
      <c r="H34" s="155" t="s">
        <v>323</v>
      </c>
      <c r="I34" s="155" t="s">
        <v>323</v>
      </c>
      <c r="J34" s="155" t="s">
        <v>323</v>
      </c>
      <c r="K34" s="155" t="s">
        <v>323</v>
      </c>
      <c r="L34" s="155" t="s">
        <v>323</v>
      </c>
      <c r="M34" s="155" t="s">
        <v>323</v>
      </c>
      <c r="N34" s="38" t="s">
        <v>312</v>
      </c>
      <c r="O34" s="155" t="s">
        <v>250</v>
      </c>
      <c r="P34" s="155" t="s">
        <v>323</v>
      </c>
      <c r="Q34" s="155" t="s">
        <v>323</v>
      </c>
      <c r="R34" s="155" t="s">
        <v>323</v>
      </c>
      <c r="S34" s="155" t="s">
        <v>323</v>
      </c>
      <c r="T34" s="155" t="s">
        <v>323</v>
      </c>
      <c r="U34" s="155" t="s">
        <v>323</v>
      </c>
      <c r="V34" s="155" t="s">
        <v>323</v>
      </c>
      <c r="W34" s="155" t="s">
        <v>323</v>
      </c>
      <c r="X34" s="155" t="s">
        <v>323</v>
      </c>
      <c r="Y34" s="155" t="s">
        <v>323</v>
      </c>
      <c r="Z34" s="155" t="s">
        <v>323</v>
      </c>
      <c r="AA34" s="155" t="s">
        <v>323</v>
      </c>
      <c r="AB34" s="38" t="s">
        <v>312</v>
      </c>
      <c r="AC34" s="155" t="s">
        <v>250</v>
      </c>
      <c r="AD34" s="155" t="s">
        <v>323</v>
      </c>
      <c r="AE34" s="155" t="s">
        <v>323</v>
      </c>
      <c r="AF34" s="155" t="s">
        <v>323</v>
      </c>
      <c r="AG34" s="155" t="s">
        <v>323</v>
      </c>
      <c r="AH34" s="155" t="s">
        <v>323</v>
      </c>
      <c r="AI34" s="155" t="s">
        <v>323</v>
      </c>
      <c r="AJ34" s="155" t="s">
        <v>323</v>
      </c>
      <c r="AK34" s="155" t="s">
        <v>323</v>
      </c>
      <c r="AL34" s="155" t="s">
        <v>323</v>
      </c>
      <c r="AM34" s="155" t="s">
        <v>323</v>
      </c>
      <c r="AN34" s="155" t="s">
        <v>323</v>
      </c>
      <c r="AO34" s="155" t="s">
        <v>323</v>
      </c>
      <c r="AP34" s="38" t="s">
        <v>312</v>
      </c>
      <c r="AQ34" s="37" t="s">
        <v>269</v>
      </c>
      <c r="AR34" s="155" t="s">
        <v>323</v>
      </c>
      <c r="AS34" s="155" t="s">
        <v>323</v>
      </c>
      <c r="AT34" s="155" t="s">
        <v>323</v>
      </c>
      <c r="AU34" s="155" t="s">
        <v>323</v>
      </c>
      <c r="AV34" s="155" t="s">
        <v>323</v>
      </c>
      <c r="AW34" s="155" t="s">
        <v>323</v>
      </c>
      <c r="AX34" s="155" t="s">
        <v>323</v>
      </c>
      <c r="AY34" s="155" t="s">
        <v>323</v>
      </c>
      <c r="AZ34" s="155" t="s">
        <v>323</v>
      </c>
      <c r="BA34" s="155" t="s">
        <v>323</v>
      </c>
      <c r="BB34" s="155" t="s">
        <v>323</v>
      </c>
      <c r="BC34" s="155" t="s">
        <v>323</v>
      </c>
      <c r="BD34" s="155" t="s">
        <v>250</v>
      </c>
      <c r="BE34" s="155" t="s">
        <v>251</v>
      </c>
      <c r="BF34" s="55" t="s">
        <v>220</v>
      </c>
      <c r="BG34" s="53" t="s">
        <v>220</v>
      </c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</row>
    <row r="35" spans="1:70" ht="20" x14ac:dyDescent="0.2">
      <c r="A35" s="66" t="s">
        <v>439</v>
      </c>
      <c r="B35" s="155" t="s">
        <v>331</v>
      </c>
      <c r="C35" s="38" t="s">
        <v>326</v>
      </c>
      <c r="D35" s="38" t="s">
        <v>326</v>
      </c>
      <c r="E35" s="38" t="s">
        <v>326</v>
      </c>
      <c r="F35" s="28" t="s">
        <v>243</v>
      </c>
      <c r="G35" s="28" t="s">
        <v>243</v>
      </c>
      <c r="H35" s="28" t="s">
        <v>243</v>
      </c>
      <c r="I35" s="28" t="s">
        <v>243</v>
      </c>
      <c r="J35" s="61" t="s">
        <v>330</v>
      </c>
      <c r="K35" s="38" t="s">
        <v>326</v>
      </c>
      <c r="L35" s="155" t="s">
        <v>319</v>
      </c>
      <c r="M35" s="60" t="s">
        <v>310</v>
      </c>
      <c r="N35" s="38" t="s">
        <v>326</v>
      </c>
      <c r="O35" s="155" t="s">
        <v>250</v>
      </c>
      <c r="P35" s="155" t="s">
        <v>258</v>
      </c>
      <c r="Q35" s="38" t="s">
        <v>326</v>
      </c>
      <c r="R35" s="155" t="s">
        <v>440</v>
      </c>
      <c r="S35" s="38" t="s">
        <v>326</v>
      </c>
      <c r="T35" s="28" t="s">
        <v>243</v>
      </c>
      <c r="U35" s="28" t="s">
        <v>243</v>
      </c>
      <c r="V35" s="28" t="s">
        <v>243</v>
      </c>
      <c r="W35" s="28" t="s">
        <v>243</v>
      </c>
      <c r="X35" s="38" t="s">
        <v>329</v>
      </c>
      <c r="Y35" s="38" t="s">
        <v>329</v>
      </c>
      <c r="Z35" s="59" t="s">
        <v>333</v>
      </c>
      <c r="AA35" s="60" t="s">
        <v>310</v>
      </c>
      <c r="AB35" s="155" t="s">
        <v>320</v>
      </c>
      <c r="AC35" s="155" t="s">
        <v>250</v>
      </c>
      <c r="AD35" s="38" t="s">
        <v>329</v>
      </c>
      <c r="AE35" s="38" t="s">
        <v>329</v>
      </c>
      <c r="AF35" s="38" t="s">
        <v>329</v>
      </c>
      <c r="AG35" s="38" t="s">
        <v>329</v>
      </c>
      <c r="AH35" s="28" t="s">
        <v>243</v>
      </c>
      <c r="AI35" s="28" t="s">
        <v>243</v>
      </c>
      <c r="AJ35" s="28" t="s">
        <v>243</v>
      </c>
      <c r="AK35" s="28" t="s">
        <v>243</v>
      </c>
      <c r="AL35" s="38" t="s">
        <v>329</v>
      </c>
      <c r="AM35" s="38" t="s">
        <v>329</v>
      </c>
      <c r="AN35" s="38" t="s">
        <v>329</v>
      </c>
      <c r="AO35" s="60" t="s">
        <v>310</v>
      </c>
      <c r="AP35" s="155" t="s">
        <v>320</v>
      </c>
      <c r="AQ35" s="37" t="s">
        <v>269</v>
      </c>
      <c r="AR35" s="38" t="s">
        <v>329</v>
      </c>
      <c r="AS35" s="38" t="s">
        <v>329</v>
      </c>
      <c r="AT35" s="155" t="s">
        <v>440</v>
      </c>
      <c r="AU35" s="38" t="s">
        <v>329</v>
      </c>
      <c r="AV35" s="28" t="s">
        <v>243</v>
      </c>
      <c r="AW35" s="28" t="s">
        <v>243</v>
      </c>
      <c r="AX35" s="28" t="s">
        <v>243</v>
      </c>
      <c r="AY35" s="28" t="s">
        <v>243</v>
      </c>
      <c r="AZ35" s="38" t="s">
        <v>329</v>
      </c>
      <c r="BA35" s="61" t="s">
        <v>330</v>
      </c>
      <c r="BB35" s="38" t="s">
        <v>329</v>
      </c>
      <c r="BC35" s="38" t="s">
        <v>329</v>
      </c>
      <c r="BD35" s="155" t="s">
        <v>250</v>
      </c>
      <c r="BE35" s="155" t="s">
        <v>251</v>
      </c>
      <c r="BF35" s="55" t="s">
        <v>438</v>
      </c>
      <c r="BG35" s="53" t="s">
        <v>220</v>
      </c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</row>
    <row r="36" spans="1:70" ht="20" x14ac:dyDescent="0.2">
      <c r="A36" s="66" t="s">
        <v>441</v>
      </c>
      <c r="B36" s="155" t="s">
        <v>331</v>
      </c>
      <c r="C36" s="38" t="s">
        <v>329</v>
      </c>
      <c r="D36" s="38" t="s">
        <v>329</v>
      </c>
      <c r="E36" s="38" t="s">
        <v>329</v>
      </c>
      <c r="F36" s="28" t="s">
        <v>243</v>
      </c>
      <c r="G36" s="28" t="s">
        <v>243</v>
      </c>
      <c r="H36" s="28" t="s">
        <v>243</v>
      </c>
      <c r="I36" s="28" t="s">
        <v>243</v>
      </c>
      <c r="J36" s="61" t="s">
        <v>330</v>
      </c>
      <c r="K36" s="38" t="s">
        <v>329</v>
      </c>
      <c r="L36" s="155" t="s">
        <v>319</v>
      </c>
      <c r="M36" s="60" t="s">
        <v>310</v>
      </c>
      <c r="N36" s="38" t="s">
        <v>329</v>
      </c>
      <c r="O36" s="155" t="s">
        <v>250</v>
      </c>
      <c r="P36" s="155" t="s">
        <v>258</v>
      </c>
      <c r="Q36" s="38" t="s">
        <v>329</v>
      </c>
      <c r="R36" s="155" t="s">
        <v>440</v>
      </c>
      <c r="S36" s="38" t="s">
        <v>329</v>
      </c>
      <c r="T36" s="28" t="s">
        <v>243</v>
      </c>
      <c r="U36" s="28" t="s">
        <v>243</v>
      </c>
      <c r="V36" s="28" t="s">
        <v>243</v>
      </c>
      <c r="W36" s="28" t="s">
        <v>243</v>
      </c>
      <c r="X36" s="38" t="s">
        <v>252</v>
      </c>
      <c r="Y36" s="38" t="s">
        <v>252</v>
      </c>
      <c r="Z36" s="59" t="s">
        <v>333</v>
      </c>
      <c r="AA36" s="60" t="s">
        <v>310</v>
      </c>
      <c r="AB36" s="155" t="s">
        <v>320</v>
      </c>
      <c r="AC36" s="155" t="s">
        <v>250</v>
      </c>
      <c r="AD36" s="38" t="s">
        <v>252</v>
      </c>
      <c r="AE36" s="38" t="s">
        <v>252</v>
      </c>
      <c r="AF36" s="38" t="s">
        <v>252</v>
      </c>
      <c r="AG36" s="38" t="s">
        <v>252</v>
      </c>
      <c r="AH36" s="28" t="s">
        <v>243</v>
      </c>
      <c r="AI36" s="28" t="s">
        <v>243</v>
      </c>
      <c r="AJ36" s="28" t="s">
        <v>243</v>
      </c>
      <c r="AK36" s="28" t="s">
        <v>243</v>
      </c>
      <c r="AL36" s="38" t="s">
        <v>252</v>
      </c>
      <c r="AM36" s="38" t="s">
        <v>252</v>
      </c>
      <c r="AN36" s="38" t="s">
        <v>252</v>
      </c>
      <c r="AO36" s="60" t="s">
        <v>310</v>
      </c>
      <c r="AP36" s="155" t="s">
        <v>320</v>
      </c>
      <c r="AQ36" s="37" t="s">
        <v>269</v>
      </c>
      <c r="AR36" s="38" t="s">
        <v>252</v>
      </c>
      <c r="AS36" s="38" t="s">
        <v>252</v>
      </c>
      <c r="AT36" s="155" t="s">
        <v>442</v>
      </c>
      <c r="AU36" s="38" t="s">
        <v>252</v>
      </c>
      <c r="AV36" s="28" t="s">
        <v>243</v>
      </c>
      <c r="AW36" s="28" t="s">
        <v>243</v>
      </c>
      <c r="AX36" s="28" t="s">
        <v>243</v>
      </c>
      <c r="AY36" s="28" t="s">
        <v>243</v>
      </c>
      <c r="AZ36" s="38" t="s">
        <v>252</v>
      </c>
      <c r="BA36" s="61" t="s">
        <v>330</v>
      </c>
      <c r="BB36" s="38" t="s">
        <v>252</v>
      </c>
      <c r="BC36" s="38" t="s">
        <v>252</v>
      </c>
      <c r="BD36" s="155" t="s">
        <v>250</v>
      </c>
      <c r="BE36" s="155" t="s">
        <v>251</v>
      </c>
      <c r="BF36" s="66" t="s">
        <v>439</v>
      </c>
      <c r="BG36" s="53" t="s">
        <v>220</v>
      </c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</row>
    <row r="37" spans="1:70" ht="20" x14ac:dyDescent="0.2">
      <c r="A37" s="66" t="s">
        <v>97</v>
      </c>
      <c r="B37" s="62" t="s">
        <v>209</v>
      </c>
      <c r="C37" s="62" t="s">
        <v>209</v>
      </c>
      <c r="D37" s="62" t="s">
        <v>209</v>
      </c>
      <c r="E37" s="62" t="s">
        <v>209</v>
      </c>
      <c r="F37" s="62" t="s">
        <v>209</v>
      </c>
      <c r="G37" s="62" t="s">
        <v>209</v>
      </c>
      <c r="H37" s="62" t="s">
        <v>209</v>
      </c>
      <c r="I37" s="62" t="s">
        <v>209</v>
      </c>
      <c r="J37" s="62" t="s">
        <v>209</v>
      </c>
      <c r="K37" s="62" t="s">
        <v>209</v>
      </c>
      <c r="L37" s="62" t="s">
        <v>209</v>
      </c>
      <c r="M37" s="62" t="s">
        <v>209</v>
      </c>
      <c r="N37" s="38" t="s">
        <v>252</v>
      </c>
      <c r="O37" s="155" t="s">
        <v>250</v>
      </c>
      <c r="P37" s="62" t="s">
        <v>209</v>
      </c>
      <c r="Q37" s="62" t="s">
        <v>209</v>
      </c>
      <c r="R37" s="62" t="s">
        <v>209</v>
      </c>
      <c r="S37" s="62" t="s">
        <v>209</v>
      </c>
      <c r="T37" s="62" t="s">
        <v>209</v>
      </c>
      <c r="U37" s="62" t="s">
        <v>209</v>
      </c>
      <c r="V37" s="62" t="s">
        <v>209</v>
      </c>
      <c r="W37" s="62" t="s">
        <v>209</v>
      </c>
      <c r="X37" s="62" t="s">
        <v>209</v>
      </c>
      <c r="Y37" s="62" t="s">
        <v>209</v>
      </c>
      <c r="Z37" s="62" t="s">
        <v>209</v>
      </c>
      <c r="AA37" s="62" t="s">
        <v>209</v>
      </c>
      <c r="AB37" s="38" t="s">
        <v>252</v>
      </c>
      <c r="AC37" s="155" t="s">
        <v>250</v>
      </c>
      <c r="AD37" s="62" t="s">
        <v>209</v>
      </c>
      <c r="AE37" s="62" t="s">
        <v>209</v>
      </c>
      <c r="AF37" s="62" t="s">
        <v>209</v>
      </c>
      <c r="AG37" s="62" t="s">
        <v>209</v>
      </c>
      <c r="AH37" s="62" t="s">
        <v>209</v>
      </c>
      <c r="AI37" s="62" t="s">
        <v>209</v>
      </c>
      <c r="AJ37" s="62" t="s">
        <v>209</v>
      </c>
      <c r="AK37" s="62" t="s">
        <v>209</v>
      </c>
      <c r="AL37" s="62" t="s">
        <v>209</v>
      </c>
      <c r="AM37" s="62" t="s">
        <v>209</v>
      </c>
      <c r="AN37" s="62" t="s">
        <v>209</v>
      </c>
      <c r="AO37" s="62" t="s">
        <v>209</v>
      </c>
      <c r="AP37" s="38" t="s">
        <v>252</v>
      </c>
      <c r="AQ37" s="37" t="s">
        <v>269</v>
      </c>
      <c r="AR37" s="62" t="s">
        <v>209</v>
      </c>
      <c r="AS37" s="62" t="s">
        <v>209</v>
      </c>
      <c r="AT37" s="62" t="s">
        <v>209</v>
      </c>
      <c r="AU37" s="62" t="s">
        <v>209</v>
      </c>
      <c r="AV37" s="62" t="s">
        <v>209</v>
      </c>
      <c r="AW37" s="62" t="s">
        <v>209</v>
      </c>
      <c r="AX37" s="62" t="s">
        <v>209</v>
      </c>
      <c r="AY37" s="62" t="s">
        <v>209</v>
      </c>
      <c r="AZ37" s="62" t="s">
        <v>209</v>
      </c>
      <c r="BA37" s="62" t="s">
        <v>209</v>
      </c>
      <c r="BB37" s="62" t="s">
        <v>209</v>
      </c>
      <c r="BC37" s="62" t="s">
        <v>209</v>
      </c>
      <c r="BD37" s="155" t="s">
        <v>250</v>
      </c>
      <c r="BE37" s="155" t="s">
        <v>251</v>
      </c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</row>
    <row r="38" spans="1:70" ht="20" x14ac:dyDescent="0.2">
      <c r="A38" s="66" t="s">
        <v>443</v>
      </c>
      <c r="B38" s="62" t="s">
        <v>209</v>
      </c>
      <c r="C38" s="62" t="s">
        <v>209</v>
      </c>
      <c r="D38" s="62" t="s">
        <v>209</v>
      </c>
      <c r="E38" s="62" t="s">
        <v>209</v>
      </c>
      <c r="F38" s="62" t="s">
        <v>209</v>
      </c>
      <c r="G38" s="62" t="s">
        <v>209</v>
      </c>
      <c r="H38" s="62" t="s">
        <v>209</v>
      </c>
      <c r="I38" s="62" t="s">
        <v>209</v>
      </c>
      <c r="J38" s="62" t="s">
        <v>209</v>
      </c>
      <c r="K38" s="62" t="s">
        <v>209</v>
      </c>
      <c r="L38" s="62" t="s">
        <v>209</v>
      </c>
      <c r="M38" s="62" t="s">
        <v>209</v>
      </c>
      <c r="N38" s="38" t="s">
        <v>252</v>
      </c>
      <c r="O38" s="155" t="s">
        <v>250</v>
      </c>
      <c r="P38" s="62" t="s">
        <v>209</v>
      </c>
      <c r="Q38" s="62" t="s">
        <v>209</v>
      </c>
      <c r="R38" s="62" t="s">
        <v>209</v>
      </c>
      <c r="S38" s="62" t="s">
        <v>209</v>
      </c>
      <c r="T38" s="62" t="s">
        <v>209</v>
      </c>
      <c r="U38" s="62" t="s">
        <v>209</v>
      </c>
      <c r="V38" s="62" t="s">
        <v>209</v>
      </c>
      <c r="W38" s="62" t="s">
        <v>209</v>
      </c>
      <c r="X38" s="62" t="s">
        <v>209</v>
      </c>
      <c r="Y38" s="62" t="s">
        <v>209</v>
      </c>
      <c r="Z38" s="62" t="s">
        <v>209</v>
      </c>
      <c r="AA38" s="62" t="s">
        <v>209</v>
      </c>
      <c r="AB38" s="38" t="s">
        <v>252</v>
      </c>
      <c r="AC38" s="155" t="s">
        <v>250</v>
      </c>
      <c r="AD38" s="63" t="s">
        <v>45</v>
      </c>
      <c r="AE38" s="63" t="s">
        <v>45</v>
      </c>
      <c r="AF38" s="63" t="s">
        <v>45</v>
      </c>
      <c r="AG38" s="63" t="s">
        <v>45</v>
      </c>
      <c r="AH38" s="63" t="s">
        <v>45</v>
      </c>
      <c r="AI38" s="63" t="s">
        <v>45</v>
      </c>
      <c r="AJ38" s="63" t="s">
        <v>45</v>
      </c>
      <c r="AK38" s="63" t="s">
        <v>45</v>
      </c>
      <c r="AL38" s="63" t="s">
        <v>45</v>
      </c>
      <c r="AM38" s="63" t="s">
        <v>282</v>
      </c>
      <c r="AN38" s="63" t="s">
        <v>282</v>
      </c>
      <c r="AO38" s="63" t="s">
        <v>282</v>
      </c>
      <c r="AP38" s="38" t="s">
        <v>252</v>
      </c>
      <c r="AQ38" s="37" t="s">
        <v>269</v>
      </c>
      <c r="AR38" s="63" t="s">
        <v>45</v>
      </c>
      <c r="AS38" s="63" t="s">
        <v>45</v>
      </c>
      <c r="AT38" s="63" t="s">
        <v>45</v>
      </c>
      <c r="AU38" s="63" t="s">
        <v>45</v>
      </c>
      <c r="AV38" s="63" t="s">
        <v>45</v>
      </c>
      <c r="AW38" s="63" t="s">
        <v>45</v>
      </c>
      <c r="AX38" s="63" t="s">
        <v>45</v>
      </c>
      <c r="AY38" s="63" t="s">
        <v>45</v>
      </c>
      <c r="AZ38" s="63" t="s">
        <v>45</v>
      </c>
      <c r="BA38" s="63" t="s">
        <v>282</v>
      </c>
      <c r="BB38" s="63" t="s">
        <v>282</v>
      </c>
      <c r="BC38" s="63" t="s">
        <v>282</v>
      </c>
      <c r="BD38" s="155" t="s">
        <v>250</v>
      </c>
      <c r="BE38" s="155" t="s">
        <v>251</v>
      </c>
      <c r="BF38" s="154" t="s">
        <v>97</v>
      </c>
      <c r="BG38" s="53" t="s">
        <v>220</v>
      </c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</row>
    <row r="39" spans="1:70" ht="20" x14ac:dyDescent="0.2">
      <c r="A39" s="66" t="s">
        <v>444</v>
      </c>
      <c r="B39" s="63" t="s">
        <v>45</v>
      </c>
      <c r="C39" s="63" t="s">
        <v>45</v>
      </c>
      <c r="D39" s="63" t="s">
        <v>45</v>
      </c>
      <c r="E39" s="63" t="s">
        <v>45</v>
      </c>
      <c r="F39" s="63" t="s">
        <v>45</v>
      </c>
      <c r="G39" s="63" t="s">
        <v>45</v>
      </c>
      <c r="H39" s="63" t="s">
        <v>45</v>
      </c>
      <c r="I39" s="63" t="s">
        <v>45</v>
      </c>
      <c r="J39" s="63" t="s">
        <v>45</v>
      </c>
      <c r="K39" s="63" t="s">
        <v>282</v>
      </c>
      <c r="L39" s="63" t="s">
        <v>282</v>
      </c>
      <c r="M39" s="63" t="s">
        <v>282</v>
      </c>
      <c r="N39" s="38" t="s">
        <v>252</v>
      </c>
      <c r="O39" s="155" t="s">
        <v>250</v>
      </c>
      <c r="P39" s="63" t="s">
        <v>45</v>
      </c>
      <c r="Q39" s="63" t="s">
        <v>45</v>
      </c>
      <c r="R39" s="63" t="s">
        <v>45</v>
      </c>
      <c r="S39" s="63" t="s">
        <v>45</v>
      </c>
      <c r="T39" s="63" t="s">
        <v>45</v>
      </c>
      <c r="U39" s="63" t="s">
        <v>45</v>
      </c>
      <c r="V39" s="63" t="s">
        <v>45</v>
      </c>
      <c r="W39" s="63" t="s">
        <v>45</v>
      </c>
      <c r="X39" s="63" t="s">
        <v>45</v>
      </c>
      <c r="Y39" s="63" t="s">
        <v>282</v>
      </c>
      <c r="Z39" s="63" t="s">
        <v>282</v>
      </c>
      <c r="AA39" s="63" t="s">
        <v>282</v>
      </c>
      <c r="AB39" s="38" t="s">
        <v>252</v>
      </c>
      <c r="AC39" s="155" t="s">
        <v>250</v>
      </c>
      <c r="AD39" s="62" t="s">
        <v>209</v>
      </c>
      <c r="AE39" s="62" t="s">
        <v>209</v>
      </c>
      <c r="AF39" s="62" t="s">
        <v>209</v>
      </c>
      <c r="AG39" s="62" t="s">
        <v>209</v>
      </c>
      <c r="AH39" s="62" t="s">
        <v>209</v>
      </c>
      <c r="AI39" s="62" t="s">
        <v>209</v>
      </c>
      <c r="AJ39" s="62" t="s">
        <v>209</v>
      </c>
      <c r="AK39" s="62" t="s">
        <v>209</v>
      </c>
      <c r="AL39" s="62" t="s">
        <v>209</v>
      </c>
      <c r="AM39" s="62" t="s">
        <v>209</v>
      </c>
      <c r="AN39" s="62" t="s">
        <v>209</v>
      </c>
      <c r="AO39" s="62" t="s">
        <v>209</v>
      </c>
      <c r="AP39" s="38" t="s">
        <v>252</v>
      </c>
      <c r="AQ39" s="37" t="s">
        <v>269</v>
      </c>
      <c r="AR39" s="62" t="s">
        <v>209</v>
      </c>
      <c r="AS39" s="62" t="s">
        <v>209</v>
      </c>
      <c r="AT39" s="62" t="s">
        <v>209</v>
      </c>
      <c r="AU39" s="62" t="s">
        <v>209</v>
      </c>
      <c r="AV39" s="62" t="s">
        <v>209</v>
      </c>
      <c r="AW39" s="62" t="s">
        <v>209</v>
      </c>
      <c r="AX39" s="62" t="s">
        <v>209</v>
      </c>
      <c r="AY39" s="62" t="s">
        <v>209</v>
      </c>
      <c r="AZ39" s="62" t="s">
        <v>209</v>
      </c>
      <c r="BA39" s="62" t="s">
        <v>209</v>
      </c>
      <c r="BB39" s="62" t="s">
        <v>209</v>
      </c>
      <c r="BC39" s="62" t="s">
        <v>209</v>
      </c>
      <c r="BD39" s="62" t="s">
        <v>209</v>
      </c>
      <c r="BE39" s="62" t="s">
        <v>209</v>
      </c>
      <c r="BF39" s="55" t="s">
        <v>220</v>
      </c>
      <c r="BG39" s="53" t="s">
        <v>220</v>
      </c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</row>
    <row r="40" spans="1:70" ht="20" x14ac:dyDescent="0.2">
      <c r="A40" s="66" t="s">
        <v>445</v>
      </c>
      <c r="B40" s="155" t="s">
        <v>32</v>
      </c>
      <c r="C40" s="155" t="s">
        <v>32</v>
      </c>
      <c r="D40" s="155" t="s">
        <v>32</v>
      </c>
      <c r="E40" s="155" t="s">
        <v>32</v>
      </c>
      <c r="F40" s="28" t="s">
        <v>243</v>
      </c>
      <c r="G40" s="28" t="s">
        <v>243</v>
      </c>
      <c r="H40" s="28" t="s">
        <v>243</v>
      </c>
      <c r="I40" s="28" t="s">
        <v>243</v>
      </c>
      <c r="J40" s="155" t="s">
        <v>32</v>
      </c>
      <c r="K40" s="155" t="s">
        <v>32</v>
      </c>
      <c r="L40" s="155" t="s">
        <v>32</v>
      </c>
      <c r="M40" s="155" t="s">
        <v>32</v>
      </c>
      <c r="N40" s="38" t="s">
        <v>326</v>
      </c>
      <c r="O40" s="155" t="s">
        <v>250</v>
      </c>
      <c r="P40" s="38" t="s">
        <v>326</v>
      </c>
      <c r="Q40" s="155" t="s">
        <v>32</v>
      </c>
      <c r="R40" s="155" t="s">
        <v>32</v>
      </c>
      <c r="S40" s="155" t="s">
        <v>32</v>
      </c>
      <c r="T40" s="28" t="s">
        <v>243</v>
      </c>
      <c r="U40" s="28" t="s">
        <v>243</v>
      </c>
      <c r="V40" s="28" t="s">
        <v>243</v>
      </c>
      <c r="W40" s="28" t="s">
        <v>243</v>
      </c>
      <c r="X40" s="38" t="s">
        <v>329</v>
      </c>
      <c r="Y40" s="155" t="s">
        <v>32</v>
      </c>
      <c r="Z40" s="38" t="s">
        <v>329</v>
      </c>
      <c r="AA40" s="155" t="s">
        <v>32</v>
      </c>
      <c r="AB40" s="38" t="s">
        <v>329</v>
      </c>
      <c r="AC40" s="155" t="s">
        <v>250</v>
      </c>
      <c r="AD40" s="155" t="s">
        <v>32</v>
      </c>
      <c r="AE40" s="155" t="s">
        <v>32</v>
      </c>
      <c r="AF40" s="155" t="s">
        <v>32</v>
      </c>
      <c r="AG40" s="155" t="s">
        <v>32</v>
      </c>
      <c r="AH40" s="28" t="s">
        <v>243</v>
      </c>
      <c r="AI40" s="28" t="s">
        <v>243</v>
      </c>
      <c r="AJ40" s="28" t="s">
        <v>243</v>
      </c>
      <c r="AK40" s="28" t="s">
        <v>243</v>
      </c>
      <c r="AL40" s="38" t="s">
        <v>329</v>
      </c>
      <c r="AM40" s="155" t="s">
        <v>32</v>
      </c>
      <c r="AN40" s="38" t="s">
        <v>329</v>
      </c>
      <c r="AO40" s="155" t="s">
        <v>32</v>
      </c>
      <c r="AP40" s="38" t="s">
        <v>312</v>
      </c>
      <c r="AQ40" s="37" t="s">
        <v>269</v>
      </c>
      <c r="AR40" s="155" t="s">
        <v>32</v>
      </c>
      <c r="AS40" s="155" t="s">
        <v>32</v>
      </c>
      <c r="AT40" s="38" t="s">
        <v>329</v>
      </c>
      <c r="AU40" s="155" t="s">
        <v>32</v>
      </c>
      <c r="AV40" s="28" t="s">
        <v>243</v>
      </c>
      <c r="AW40" s="28" t="s">
        <v>243</v>
      </c>
      <c r="AX40" s="28" t="s">
        <v>243</v>
      </c>
      <c r="AY40" s="28" t="s">
        <v>243</v>
      </c>
      <c r="AZ40" s="38" t="s">
        <v>329</v>
      </c>
      <c r="BA40" s="155" t="s">
        <v>32</v>
      </c>
      <c r="BB40" s="38" t="s">
        <v>329</v>
      </c>
      <c r="BC40" s="155" t="s">
        <v>32</v>
      </c>
      <c r="BD40" s="155" t="s">
        <v>250</v>
      </c>
      <c r="BE40" s="155" t="s">
        <v>251</v>
      </c>
      <c r="BF40" s="55" t="s">
        <v>220</v>
      </c>
      <c r="BG40" s="53" t="s">
        <v>220</v>
      </c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</row>
    <row r="41" spans="1:70" ht="20" x14ac:dyDescent="0.2">
      <c r="A41" s="66" t="s">
        <v>446</v>
      </c>
      <c r="B41" s="155" t="s">
        <v>33</v>
      </c>
      <c r="C41" s="155" t="s">
        <v>33</v>
      </c>
      <c r="D41" s="155" t="s">
        <v>33</v>
      </c>
      <c r="E41" s="155" t="s">
        <v>33</v>
      </c>
      <c r="F41" s="155" t="s">
        <v>33</v>
      </c>
      <c r="G41" s="155" t="s">
        <v>33</v>
      </c>
      <c r="H41" s="155" t="s">
        <v>33</v>
      </c>
      <c r="I41" s="155" t="s">
        <v>33</v>
      </c>
      <c r="J41" s="155" t="s">
        <v>33</v>
      </c>
      <c r="K41" s="155" t="s">
        <v>33</v>
      </c>
      <c r="L41" s="155" t="s">
        <v>33</v>
      </c>
      <c r="M41" s="155" t="s">
        <v>33</v>
      </c>
      <c r="N41" s="38" t="s">
        <v>326</v>
      </c>
      <c r="O41" s="155" t="s">
        <v>33</v>
      </c>
      <c r="P41" s="155" t="s">
        <v>33</v>
      </c>
      <c r="Q41" s="155" t="s">
        <v>33</v>
      </c>
      <c r="R41" s="155" t="s">
        <v>33</v>
      </c>
      <c r="S41" s="155" t="s">
        <v>33</v>
      </c>
      <c r="T41" s="155" t="s">
        <v>33</v>
      </c>
      <c r="U41" s="155" t="s">
        <v>33</v>
      </c>
      <c r="V41" s="155" t="s">
        <v>33</v>
      </c>
      <c r="W41" s="155" t="s">
        <v>33</v>
      </c>
      <c r="X41" s="155" t="s">
        <v>33</v>
      </c>
      <c r="Y41" s="155" t="s">
        <v>33</v>
      </c>
      <c r="Z41" s="155" t="s">
        <v>33</v>
      </c>
      <c r="AA41" s="155" t="s">
        <v>33</v>
      </c>
      <c r="AB41" s="38" t="s">
        <v>326</v>
      </c>
      <c r="AC41" s="155" t="s">
        <v>250</v>
      </c>
      <c r="AD41" s="155" t="s">
        <v>33</v>
      </c>
      <c r="AE41" s="155" t="s">
        <v>33</v>
      </c>
      <c r="AF41" s="155" t="s">
        <v>33</v>
      </c>
      <c r="AG41" s="155" t="s">
        <v>33</v>
      </c>
      <c r="AH41" s="155" t="s">
        <v>33</v>
      </c>
      <c r="AI41" s="155" t="s">
        <v>33</v>
      </c>
      <c r="AJ41" s="155" t="s">
        <v>33</v>
      </c>
      <c r="AK41" s="155" t="s">
        <v>33</v>
      </c>
      <c r="AL41" s="155" t="s">
        <v>33</v>
      </c>
      <c r="AM41" s="155" t="s">
        <v>33</v>
      </c>
      <c r="AN41" s="155" t="s">
        <v>33</v>
      </c>
      <c r="AO41" s="155" t="s">
        <v>33</v>
      </c>
      <c r="AP41" s="38" t="s">
        <v>326</v>
      </c>
      <c r="AQ41" s="37" t="s">
        <v>269</v>
      </c>
      <c r="AR41" s="155" t="s">
        <v>33</v>
      </c>
      <c r="AS41" s="155" t="s">
        <v>33</v>
      </c>
      <c r="AT41" s="155" t="s">
        <v>33</v>
      </c>
      <c r="AU41" s="155" t="s">
        <v>33</v>
      </c>
      <c r="AV41" s="155" t="s">
        <v>33</v>
      </c>
      <c r="AW41" s="155" t="s">
        <v>33</v>
      </c>
      <c r="AX41" s="155" t="s">
        <v>33</v>
      </c>
      <c r="AY41" s="155" t="s">
        <v>33</v>
      </c>
      <c r="AZ41" s="155" t="s">
        <v>33</v>
      </c>
      <c r="BA41" s="155" t="s">
        <v>33</v>
      </c>
      <c r="BB41" s="155" t="s">
        <v>33</v>
      </c>
      <c r="BC41" s="38" t="s">
        <v>312</v>
      </c>
      <c r="BD41" s="155" t="s">
        <v>250</v>
      </c>
      <c r="BE41" s="155" t="s">
        <v>251</v>
      </c>
      <c r="BF41" s="55" t="s">
        <v>445</v>
      </c>
      <c r="BG41" s="53" t="s">
        <v>220</v>
      </c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</row>
    <row r="42" spans="1:70" ht="20" x14ac:dyDescent="0.2">
      <c r="A42" s="66" t="s">
        <v>447</v>
      </c>
      <c r="B42" s="155" t="s">
        <v>366</v>
      </c>
      <c r="C42" s="155" t="s">
        <v>366</v>
      </c>
      <c r="D42" s="155" t="s">
        <v>366</v>
      </c>
      <c r="E42" s="155" t="s">
        <v>366</v>
      </c>
      <c r="F42" s="155" t="s">
        <v>366</v>
      </c>
      <c r="G42" s="155" t="s">
        <v>366</v>
      </c>
      <c r="H42" s="155" t="s">
        <v>366</v>
      </c>
      <c r="I42" s="155" t="s">
        <v>366</v>
      </c>
      <c r="J42" s="155" t="s">
        <v>366</v>
      </c>
      <c r="K42" s="63" t="s">
        <v>282</v>
      </c>
      <c r="L42" s="63" t="s">
        <v>282</v>
      </c>
      <c r="M42" s="63" t="s">
        <v>282</v>
      </c>
      <c r="N42" s="38" t="s">
        <v>252</v>
      </c>
      <c r="O42" s="155" t="s">
        <v>250</v>
      </c>
      <c r="P42" s="155" t="s">
        <v>366</v>
      </c>
      <c r="Q42" s="155" t="s">
        <v>366</v>
      </c>
      <c r="R42" s="155" t="s">
        <v>366</v>
      </c>
      <c r="S42" s="155" t="s">
        <v>366</v>
      </c>
      <c r="T42" s="155" t="s">
        <v>366</v>
      </c>
      <c r="U42" s="155" t="s">
        <v>366</v>
      </c>
      <c r="V42" s="155" t="s">
        <v>366</v>
      </c>
      <c r="W42" s="155" t="s">
        <v>366</v>
      </c>
      <c r="X42" s="155" t="s">
        <v>366</v>
      </c>
      <c r="Y42" s="63" t="s">
        <v>282</v>
      </c>
      <c r="Z42" s="63" t="s">
        <v>282</v>
      </c>
      <c r="AA42" s="63" t="s">
        <v>282</v>
      </c>
      <c r="AB42" s="38" t="s">
        <v>252</v>
      </c>
      <c r="AC42" s="155" t="s">
        <v>250</v>
      </c>
      <c r="AD42" s="155" t="s">
        <v>366</v>
      </c>
      <c r="AE42" s="155" t="s">
        <v>366</v>
      </c>
      <c r="AF42" s="155" t="s">
        <v>366</v>
      </c>
      <c r="AG42" s="155" t="s">
        <v>366</v>
      </c>
      <c r="AH42" s="155" t="s">
        <v>366</v>
      </c>
      <c r="AI42" s="155" t="s">
        <v>366</v>
      </c>
      <c r="AJ42" s="155" t="s">
        <v>366</v>
      </c>
      <c r="AK42" s="155" t="s">
        <v>366</v>
      </c>
      <c r="AL42" s="155" t="s">
        <v>366</v>
      </c>
      <c r="AM42" s="63" t="s">
        <v>282</v>
      </c>
      <c r="AN42" s="63" t="s">
        <v>282</v>
      </c>
      <c r="AO42" s="63" t="s">
        <v>282</v>
      </c>
      <c r="AP42" s="38" t="s">
        <v>252</v>
      </c>
      <c r="AQ42" s="37" t="s">
        <v>269</v>
      </c>
      <c r="AR42" s="155" t="s">
        <v>366</v>
      </c>
      <c r="AS42" s="155" t="s">
        <v>366</v>
      </c>
      <c r="AT42" s="155" t="s">
        <v>366</v>
      </c>
      <c r="AU42" s="155" t="s">
        <v>366</v>
      </c>
      <c r="AV42" s="155" t="s">
        <v>366</v>
      </c>
      <c r="AW42" s="155" t="s">
        <v>366</v>
      </c>
      <c r="AX42" s="155" t="s">
        <v>366</v>
      </c>
      <c r="AY42" s="155" t="s">
        <v>366</v>
      </c>
      <c r="AZ42" s="155" t="s">
        <v>366</v>
      </c>
      <c r="BA42" s="63" t="s">
        <v>282</v>
      </c>
      <c r="BB42" s="63" t="s">
        <v>282</v>
      </c>
      <c r="BC42" s="63" t="s">
        <v>282</v>
      </c>
      <c r="BD42" s="155" t="s">
        <v>250</v>
      </c>
      <c r="BE42" s="155" t="s">
        <v>251</v>
      </c>
      <c r="BF42" s="29" t="s">
        <v>448</v>
      </c>
      <c r="BG42" s="53" t="s">
        <v>220</v>
      </c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</row>
    <row r="43" spans="1:70" ht="20" x14ac:dyDescent="0.2">
      <c r="A43" s="66" t="s">
        <v>449</v>
      </c>
      <c r="B43" s="155" t="s">
        <v>340</v>
      </c>
      <c r="C43" s="155" t="s">
        <v>340</v>
      </c>
      <c r="D43" s="155" t="s">
        <v>340</v>
      </c>
      <c r="E43" s="155" t="s">
        <v>340</v>
      </c>
      <c r="F43" s="63" t="s">
        <v>282</v>
      </c>
      <c r="G43" s="63" t="s">
        <v>282</v>
      </c>
      <c r="H43" s="155" t="s">
        <v>340</v>
      </c>
      <c r="I43" s="155" t="s">
        <v>340</v>
      </c>
      <c r="J43" s="155" t="s">
        <v>340</v>
      </c>
      <c r="K43" s="155" t="s">
        <v>340</v>
      </c>
      <c r="L43" s="155" t="s">
        <v>340</v>
      </c>
      <c r="M43" s="155" t="s">
        <v>340</v>
      </c>
      <c r="N43" s="38" t="s">
        <v>252</v>
      </c>
      <c r="O43" s="155" t="s">
        <v>250</v>
      </c>
      <c r="P43" s="155" t="s">
        <v>340</v>
      </c>
      <c r="Q43" s="155" t="s">
        <v>340</v>
      </c>
      <c r="R43" s="155" t="s">
        <v>340</v>
      </c>
      <c r="S43" s="155" t="s">
        <v>340</v>
      </c>
      <c r="T43" s="63" t="s">
        <v>282</v>
      </c>
      <c r="U43" s="63" t="s">
        <v>282</v>
      </c>
      <c r="V43" s="155" t="s">
        <v>340</v>
      </c>
      <c r="W43" s="155" t="s">
        <v>340</v>
      </c>
      <c r="X43" s="155" t="s">
        <v>340</v>
      </c>
      <c r="Y43" s="155" t="s">
        <v>340</v>
      </c>
      <c r="Z43" s="155" t="s">
        <v>340</v>
      </c>
      <c r="AA43" s="155" t="s">
        <v>340</v>
      </c>
      <c r="AB43" s="38" t="s">
        <v>252</v>
      </c>
      <c r="AC43" s="155" t="s">
        <v>250</v>
      </c>
      <c r="AD43" s="155" t="s">
        <v>340</v>
      </c>
      <c r="AE43" s="155" t="s">
        <v>340</v>
      </c>
      <c r="AF43" s="155" t="s">
        <v>340</v>
      </c>
      <c r="AG43" s="155" t="s">
        <v>340</v>
      </c>
      <c r="AH43" s="63" t="s">
        <v>282</v>
      </c>
      <c r="AI43" s="63" t="s">
        <v>282</v>
      </c>
      <c r="AJ43" s="155" t="s">
        <v>340</v>
      </c>
      <c r="AK43" s="155" t="s">
        <v>340</v>
      </c>
      <c r="AL43" s="155" t="s">
        <v>340</v>
      </c>
      <c r="AM43" s="155" t="s">
        <v>340</v>
      </c>
      <c r="AN43" s="155" t="s">
        <v>340</v>
      </c>
      <c r="AO43" s="155" t="s">
        <v>340</v>
      </c>
      <c r="AP43" s="38" t="s">
        <v>252</v>
      </c>
      <c r="AQ43" s="37" t="s">
        <v>269</v>
      </c>
      <c r="AR43" s="155" t="s">
        <v>340</v>
      </c>
      <c r="AS43" s="155" t="s">
        <v>340</v>
      </c>
      <c r="AT43" s="155" t="s">
        <v>340</v>
      </c>
      <c r="AU43" s="155" t="s">
        <v>340</v>
      </c>
      <c r="AV43" s="63" t="s">
        <v>282</v>
      </c>
      <c r="AW43" s="63" t="s">
        <v>282</v>
      </c>
      <c r="AX43" s="155" t="s">
        <v>340</v>
      </c>
      <c r="AY43" s="155" t="s">
        <v>340</v>
      </c>
      <c r="AZ43" s="155" t="s">
        <v>340</v>
      </c>
      <c r="BA43" s="155" t="s">
        <v>340</v>
      </c>
      <c r="BB43" s="155" t="s">
        <v>340</v>
      </c>
      <c r="BC43" s="155" t="s">
        <v>340</v>
      </c>
      <c r="BD43" s="155" t="s">
        <v>250</v>
      </c>
      <c r="BE43" s="155" t="s">
        <v>251</v>
      </c>
      <c r="BF43" s="29" t="s">
        <v>447</v>
      </c>
      <c r="BG43" s="53" t="s">
        <v>220</v>
      </c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</row>
    <row r="44" spans="1:70" ht="20" x14ac:dyDescent="0.2">
      <c r="A44" s="66" t="s">
        <v>450</v>
      </c>
      <c r="B44" s="155" t="s">
        <v>328</v>
      </c>
      <c r="C44" s="155" t="s">
        <v>328</v>
      </c>
      <c r="D44" s="155" t="s">
        <v>328</v>
      </c>
      <c r="E44" s="155" t="s">
        <v>328</v>
      </c>
      <c r="F44" s="155" t="s">
        <v>328</v>
      </c>
      <c r="G44" s="155" t="s">
        <v>328</v>
      </c>
      <c r="H44" s="155" t="s">
        <v>328</v>
      </c>
      <c r="I44" s="155" t="s">
        <v>328</v>
      </c>
      <c r="J44" s="155" t="s">
        <v>328</v>
      </c>
      <c r="K44" s="155" t="s">
        <v>328</v>
      </c>
      <c r="L44" s="155" t="s">
        <v>328</v>
      </c>
      <c r="M44" s="155" t="s">
        <v>328</v>
      </c>
      <c r="N44" s="38" t="s">
        <v>252</v>
      </c>
      <c r="O44" s="155" t="s">
        <v>250</v>
      </c>
      <c r="P44" s="155" t="s">
        <v>328</v>
      </c>
      <c r="Q44" s="155" t="s">
        <v>328</v>
      </c>
      <c r="R44" s="155" t="s">
        <v>328</v>
      </c>
      <c r="S44" s="155" t="s">
        <v>328</v>
      </c>
      <c r="T44" s="155" t="s">
        <v>328</v>
      </c>
      <c r="U44" s="155" t="s">
        <v>328</v>
      </c>
      <c r="V44" s="155" t="s">
        <v>328</v>
      </c>
      <c r="W44" s="155" t="s">
        <v>328</v>
      </c>
      <c r="X44" s="155" t="s">
        <v>328</v>
      </c>
      <c r="Y44" s="155" t="s">
        <v>328</v>
      </c>
      <c r="Z44" s="155" t="s">
        <v>328</v>
      </c>
      <c r="AA44" s="155" t="s">
        <v>328</v>
      </c>
      <c r="AB44" s="38" t="s">
        <v>252</v>
      </c>
      <c r="AC44" s="155" t="s">
        <v>250</v>
      </c>
      <c r="AD44" s="155" t="s">
        <v>328</v>
      </c>
      <c r="AE44" s="155" t="s">
        <v>328</v>
      </c>
      <c r="AF44" s="155" t="s">
        <v>328</v>
      </c>
      <c r="AG44" s="155" t="s">
        <v>328</v>
      </c>
      <c r="AH44" s="155" t="s">
        <v>328</v>
      </c>
      <c r="AI44" s="155" t="s">
        <v>328</v>
      </c>
      <c r="AJ44" s="155" t="s">
        <v>328</v>
      </c>
      <c r="AK44" s="155" t="s">
        <v>328</v>
      </c>
      <c r="AL44" s="155" t="s">
        <v>328</v>
      </c>
      <c r="AM44" s="155" t="s">
        <v>328</v>
      </c>
      <c r="AN44" s="155" t="s">
        <v>328</v>
      </c>
      <c r="AO44" s="155" t="s">
        <v>328</v>
      </c>
      <c r="AP44" s="38" t="s">
        <v>252</v>
      </c>
      <c r="AQ44" s="37" t="s">
        <v>269</v>
      </c>
      <c r="AR44" s="155" t="s">
        <v>328</v>
      </c>
      <c r="AS44" s="155" t="s">
        <v>328</v>
      </c>
      <c r="AT44" s="155" t="s">
        <v>328</v>
      </c>
      <c r="AU44" s="155" t="s">
        <v>328</v>
      </c>
      <c r="AV44" s="155" t="s">
        <v>328</v>
      </c>
      <c r="AW44" s="155" t="s">
        <v>328</v>
      </c>
      <c r="AX44" s="155" t="s">
        <v>328</v>
      </c>
      <c r="AY44" s="155" t="s">
        <v>328</v>
      </c>
      <c r="AZ44" s="155" t="s">
        <v>328</v>
      </c>
      <c r="BA44" s="155" t="s">
        <v>328</v>
      </c>
      <c r="BB44" s="155" t="s">
        <v>328</v>
      </c>
      <c r="BC44" s="38" t="s">
        <v>312</v>
      </c>
      <c r="BD44" s="155" t="s">
        <v>250</v>
      </c>
      <c r="BE44" s="155" t="s">
        <v>251</v>
      </c>
      <c r="BF44" s="55" t="s">
        <v>451</v>
      </c>
      <c r="BG44" s="53" t="s">
        <v>220</v>
      </c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</row>
    <row r="45" spans="1:70" ht="20" x14ac:dyDescent="0.2">
      <c r="A45" s="66" t="s">
        <v>452</v>
      </c>
      <c r="B45" s="155" t="s">
        <v>453</v>
      </c>
      <c r="C45" s="155" t="s">
        <v>454</v>
      </c>
      <c r="D45" s="38" t="s">
        <v>252</v>
      </c>
      <c r="E45" s="155" t="s">
        <v>81</v>
      </c>
      <c r="F45" s="28" t="s">
        <v>243</v>
      </c>
      <c r="G45" s="28" t="s">
        <v>243</v>
      </c>
      <c r="H45" s="28" t="s">
        <v>243</v>
      </c>
      <c r="I45" s="28" t="s">
        <v>243</v>
      </c>
      <c r="J45" s="155" t="s">
        <v>453</v>
      </c>
      <c r="K45" s="155" t="s">
        <v>454</v>
      </c>
      <c r="L45" s="155" t="s">
        <v>81</v>
      </c>
      <c r="M45" s="155" t="s">
        <v>81</v>
      </c>
      <c r="N45" s="155" t="s">
        <v>268</v>
      </c>
      <c r="O45" s="155" t="s">
        <v>250</v>
      </c>
      <c r="P45" s="155" t="s">
        <v>453</v>
      </c>
      <c r="Q45" s="155" t="s">
        <v>454</v>
      </c>
      <c r="R45" s="38" t="s">
        <v>252</v>
      </c>
      <c r="S45" s="155" t="s">
        <v>81</v>
      </c>
      <c r="T45" s="28" t="s">
        <v>243</v>
      </c>
      <c r="U45" s="28" t="s">
        <v>243</v>
      </c>
      <c r="V45" s="28" t="s">
        <v>243</v>
      </c>
      <c r="W45" s="28" t="s">
        <v>243</v>
      </c>
      <c r="X45" s="155" t="s">
        <v>453</v>
      </c>
      <c r="Y45" s="155" t="s">
        <v>454</v>
      </c>
      <c r="Z45" s="155" t="s">
        <v>81</v>
      </c>
      <c r="AA45" s="155" t="s">
        <v>81</v>
      </c>
      <c r="AB45" s="155" t="s">
        <v>268</v>
      </c>
      <c r="AC45" s="155" t="s">
        <v>250</v>
      </c>
      <c r="AD45" s="155" t="s">
        <v>453</v>
      </c>
      <c r="AE45" s="155" t="s">
        <v>454</v>
      </c>
      <c r="AF45" s="38" t="s">
        <v>252</v>
      </c>
      <c r="AG45" s="155" t="s">
        <v>81</v>
      </c>
      <c r="AH45" s="28" t="s">
        <v>243</v>
      </c>
      <c r="AI45" s="28" t="s">
        <v>243</v>
      </c>
      <c r="AJ45" s="28" t="s">
        <v>243</v>
      </c>
      <c r="AK45" s="28" t="s">
        <v>243</v>
      </c>
      <c r="AL45" s="155" t="s">
        <v>453</v>
      </c>
      <c r="AM45" s="155" t="s">
        <v>454</v>
      </c>
      <c r="AN45" s="155" t="s">
        <v>81</v>
      </c>
      <c r="AO45" s="155" t="s">
        <v>81</v>
      </c>
      <c r="AP45" s="155" t="s">
        <v>268</v>
      </c>
      <c r="AQ45" s="37" t="s">
        <v>269</v>
      </c>
      <c r="AR45" s="155" t="s">
        <v>453</v>
      </c>
      <c r="AS45" s="155" t="s">
        <v>454</v>
      </c>
      <c r="AT45" s="38" t="s">
        <v>252</v>
      </c>
      <c r="AU45" s="155" t="s">
        <v>81</v>
      </c>
      <c r="AV45" s="28" t="s">
        <v>243</v>
      </c>
      <c r="AW45" s="28" t="s">
        <v>243</v>
      </c>
      <c r="AX45" s="28" t="s">
        <v>243</v>
      </c>
      <c r="AY45" s="28" t="s">
        <v>243</v>
      </c>
      <c r="AZ45" s="155" t="s">
        <v>325</v>
      </c>
      <c r="BA45" s="155" t="s">
        <v>327</v>
      </c>
      <c r="BB45" s="155" t="s">
        <v>81</v>
      </c>
      <c r="BC45" s="38" t="s">
        <v>252</v>
      </c>
      <c r="BD45" s="155" t="s">
        <v>250</v>
      </c>
      <c r="BE45" s="155" t="s">
        <v>251</v>
      </c>
      <c r="BF45" s="55" t="s">
        <v>450</v>
      </c>
      <c r="BG45" s="53" t="s">
        <v>220</v>
      </c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</row>
    <row r="46" spans="1:70" ht="20" x14ac:dyDescent="0.2">
      <c r="A46" s="66" t="s">
        <v>455</v>
      </c>
      <c r="B46" s="155" t="s">
        <v>42</v>
      </c>
      <c r="C46" s="155" t="s">
        <v>42</v>
      </c>
      <c r="D46" s="155" t="s">
        <v>42</v>
      </c>
      <c r="E46" s="155" t="s">
        <v>42</v>
      </c>
      <c r="F46" s="155" t="s">
        <v>42</v>
      </c>
      <c r="G46" s="155" t="s">
        <v>42</v>
      </c>
      <c r="H46" s="63" t="s">
        <v>282</v>
      </c>
      <c r="I46" s="63" t="s">
        <v>282</v>
      </c>
      <c r="J46" s="155" t="s">
        <v>42</v>
      </c>
      <c r="K46" s="155" t="s">
        <v>42</v>
      </c>
      <c r="L46" s="155" t="s">
        <v>42</v>
      </c>
      <c r="M46" s="155" t="s">
        <v>42</v>
      </c>
      <c r="N46" s="38" t="s">
        <v>252</v>
      </c>
      <c r="O46" s="155" t="s">
        <v>250</v>
      </c>
      <c r="P46" s="155" t="s">
        <v>42</v>
      </c>
      <c r="Q46" s="155" t="s">
        <v>42</v>
      </c>
      <c r="R46" s="155" t="s">
        <v>42</v>
      </c>
      <c r="S46" s="155" t="s">
        <v>42</v>
      </c>
      <c r="T46" s="155" t="s">
        <v>42</v>
      </c>
      <c r="U46" s="155" t="s">
        <v>42</v>
      </c>
      <c r="V46" s="63" t="s">
        <v>282</v>
      </c>
      <c r="W46" s="63" t="s">
        <v>282</v>
      </c>
      <c r="X46" s="155" t="s">
        <v>42</v>
      </c>
      <c r="Y46" s="155" t="s">
        <v>42</v>
      </c>
      <c r="Z46" s="155" t="s">
        <v>42</v>
      </c>
      <c r="AA46" s="155" t="s">
        <v>42</v>
      </c>
      <c r="AB46" s="38" t="s">
        <v>252</v>
      </c>
      <c r="AC46" s="155" t="s">
        <v>250</v>
      </c>
      <c r="AD46" s="155" t="s">
        <v>42</v>
      </c>
      <c r="AE46" s="155" t="s">
        <v>42</v>
      </c>
      <c r="AF46" s="155" t="s">
        <v>42</v>
      </c>
      <c r="AG46" s="155" t="s">
        <v>42</v>
      </c>
      <c r="AH46" s="155" t="s">
        <v>42</v>
      </c>
      <c r="AI46" s="155" t="s">
        <v>42</v>
      </c>
      <c r="AJ46" s="63" t="s">
        <v>282</v>
      </c>
      <c r="AK46" s="63" t="s">
        <v>282</v>
      </c>
      <c r="AL46" s="155" t="s">
        <v>42</v>
      </c>
      <c r="AM46" s="155" t="s">
        <v>42</v>
      </c>
      <c r="AN46" s="155" t="s">
        <v>42</v>
      </c>
      <c r="AO46" s="155" t="s">
        <v>42</v>
      </c>
      <c r="AP46" s="38" t="s">
        <v>252</v>
      </c>
      <c r="AQ46" s="37" t="s">
        <v>269</v>
      </c>
      <c r="AR46" s="155" t="s">
        <v>42</v>
      </c>
      <c r="AS46" s="155" t="s">
        <v>42</v>
      </c>
      <c r="AT46" s="155" t="s">
        <v>42</v>
      </c>
      <c r="AU46" s="155" t="s">
        <v>42</v>
      </c>
      <c r="AV46" s="155" t="s">
        <v>42</v>
      </c>
      <c r="AW46" s="155" t="s">
        <v>42</v>
      </c>
      <c r="AX46" s="63" t="s">
        <v>282</v>
      </c>
      <c r="AY46" s="63" t="s">
        <v>282</v>
      </c>
      <c r="AZ46" s="155" t="s">
        <v>42</v>
      </c>
      <c r="BA46" s="155" t="s">
        <v>42</v>
      </c>
      <c r="BB46" s="155" t="s">
        <v>42</v>
      </c>
      <c r="BC46" s="155" t="s">
        <v>42</v>
      </c>
      <c r="BD46" s="155" t="s">
        <v>250</v>
      </c>
      <c r="BE46" s="155" t="s">
        <v>251</v>
      </c>
      <c r="BF46" s="55" t="s">
        <v>452</v>
      </c>
      <c r="BG46" s="53" t="s">
        <v>220</v>
      </c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</row>
    <row r="47" spans="1:70" ht="20" x14ac:dyDescent="0.2">
      <c r="A47" s="66" t="s">
        <v>456</v>
      </c>
      <c r="B47" s="155" t="s">
        <v>346</v>
      </c>
      <c r="C47" s="155" t="s">
        <v>346</v>
      </c>
      <c r="D47" s="155" t="s">
        <v>346</v>
      </c>
      <c r="E47" s="155" t="s">
        <v>346</v>
      </c>
      <c r="F47" s="28" t="s">
        <v>243</v>
      </c>
      <c r="G47" s="28" t="s">
        <v>243</v>
      </c>
      <c r="H47" s="28" t="s">
        <v>243</v>
      </c>
      <c r="I47" s="28" t="s">
        <v>243</v>
      </c>
      <c r="J47" s="155" t="s">
        <v>346</v>
      </c>
      <c r="K47" s="38" t="s">
        <v>252</v>
      </c>
      <c r="L47" s="155" t="s">
        <v>346</v>
      </c>
      <c r="M47" s="155" t="s">
        <v>346</v>
      </c>
      <c r="N47" s="38" t="s">
        <v>252</v>
      </c>
      <c r="O47" s="155" t="s">
        <v>250</v>
      </c>
      <c r="P47" s="155" t="s">
        <v>346</v>
      </c>
      <c r="Q47" s="155" t="s">
        <v>346</v>
      </c>
      <c r="R47" s="155" t="s">
        <v>346</v>
      </c>
      <c r="S47" s="155" t="s">
        <v>346</v>
      </c>
      <c r="T47" s="28" t="s">
        <v>243</v>
      </c>
      <c r="U47" s="28" t="s">
        <v>243</v>
      </c>
      <c r="V47" s="28" t="s">
        <v>243</v>
      </c>
      <c r="W47" s="28" t="s">
        <v>243</v>
      </c>
      <c r="X47" s="155" t="s">
        <v>346</v>
      </c>
      <c r="Y47" s="38" t="s">
        <v>252</v>
      </c>
      <c r="Z47" s="155" t="s">
        <v>346</v>
      </c>
      <c r="AA47" s="155" t="s">
        <v>346</v>
      </c>
      <c r="AB47" s="38" t="s">
        <v>252</v>
      </c>
      <c r="AC47" s="155" t="s">
        <v>250</v>
      </c>
      <c r="AD47" s="155" t="s">
        <v>346</v>
      </c>
      <c r="AE47" s="155" t="s">
        <v>346</v>
      </c>
      <c r="AF47" s="155" t="s">
        <v>346</v>
      </c>
      <c r="AG47" s="155" t="s">
        <v>346</v>
      </c>
      <c r="AH47" s="28" t="s">
        <v>243</v>
      </c>
      <c r="AI47" s="28" t="s">
        <v>243</v>
      </c>
      <c r="AJ47" s="28" t="s">
        <v>243</v>
      </c>
      <c r="AK47" s="28" t="s">
        <v>243</v>
      </c>
      <c r="AL47" s="155" t="s">
        <v>346</v>
      </c>
      <c r="AM47" s="38" t="s">
        <v>252</v>
      </c>
      <c r="AN47" s="155" t="s">
        <v>346</v>
      </c>
      <c r="AO47" s="155" t="s">
        <v>346</v>
      </c>
      <c r="AP47" s="38" t="s">
        <v>252</v>
      </c>
      <c r="AQ47" s="37" t="s">
        <v>269</v>
      </c>
      <c r="AR47" s="155" t="s">
        <v>346</v>
      </c>
      <c r="AS47" s="155" t="s">
        <v>346</v>
      </c>
      <c r="AT47" s="155" t="s">
        <v>346</v>
      </c>
      <c r="AU47" s="155" t="s">
        <v>346</v>
      </c>
      <c r="AV47" s="28" t="s">
        <v>243</v>
      </c>
      <c r="AW47" s="28" t="s">
        <v>243</v>
      </c>
      <c r="AX47" s="28" t="s">
        <v>243</v>
      </c>
      <c r="AY47" s="28" t="s">
        <v>243</v>
      </c>
      <c r="AZ47" s="155" t="s">
        <v>346</v>
      </c>
      <c r="BA47" s="38" t="s">
        <v>252</v>
      </c>
      <c r="BB47" s="155" t="s">
        <v>346</v>
      </c>
      <c r="BC47" s="155" t="s">
        <v>346</v>
      </c>
      <c r="BD47" s="155" t="s">
        <v>250</v>
      </c>
      <c r="BE47" s="155" t="s">
        <v>251</v>
      </c>
      <c r="BF47" s="55" t="s">
        <v>457</v>
      </c>
      <c r="BG47" s="53" t="s">
        <v>220</v>
      </c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</row>
    <row r="48" spans="1:70" ht="20" x14ac:dyDescent="0.2">
      <c r="A48" s="66" t="s">
        <v>458</v>
      </c>
      <c r="B48" s="155" t="s">
        <v>384</v>
      </c>
      <c r="C48" s="155" t="s">
        <v>384</v>
      </c>
      <c r="D48" s="155" t="s">
        <v>384</v>
      </c>
      <c r="E48" s="155" t="s">
        <v>384</v>
      </c>
      <c r="F48" s="155" t="s">
        <v>384</v>
      </c>
      <c r="G48" s="155" t="s">
        <v>384</v>
      </c>
      <c r="H48" s="155" t="s">
        <v>384</v>
      </c>
      <c r="I48" s="155" t="s">
        <v>384</v>
      </c>
      <c r="J48" s="155" t="s">
        <v>384</v>
      </c>
      <c r="K48" s="155" t="s">
        <v>384</v>
      </c>
      <c r="L48" s="155" t="s">
        <v>384</v>
      </c>
      <c r="M48" s="155" t="s">
        <v>384</v>
      </c>
      <c r="N48" s="38" t="s">
        <v>252</v>
      </c>
      <c r="O48" s="155" t="s">
        <v>250</v>
      </c>
      <c r="P48" s="155" t="s">
        <v>384</v>
      </c>
      <c r="Q48" s="155" t="s">
        <v>384</v>
      </c>
      <c r="R48" s="155" t="s">
        <v>384</v>
      </c>
      <c r="S48" s="155" t="s">
        <v>384</v>
      </c>
      <c r="T48" s="155" t="s">
        <v>384</v>
      </c>
      <c r="U48" s="155" t="s">
        <v>384</v>
      </c>
      <c r="V48" s="155" t="s">
        <v>384</v>
      </c>
      <c r="W48" s="155" t="s">
        <v>384</v>
      </c>
      <c r="X48" s="155" t="s">
        <v>384</v>
      </c>
      <c r="Y48" s="155" t="s">
        <v>384</v>
      </c>
      <c r="Z48" s="155" t="s">
        <v>384</v>
      </c>
      <c r="AA48" s="155" t="s">
        <v>384</v>
      </c>
      <c r="AB48" s="38" t="s">
        <v>252</v>
      </c>
      <c r="AC48" s="155" t="s">
        <v>250</v>
      </c>
      <c r="AD48" s="155" t="s">
        <v>384</v>
      </c>
      <c r="AE48" s="155" t="s">
        <v>384</v>
      </c>
      <c r="AF48" s="155" t="s">
        <v>384</v>
      </c>
      <c r="AG48" s="155" t="s">
        <v>384</v>
      </c>
      <c r="AH48" s="155" t="s">
        <v>384</v>
      </c>
      <c r="AI48" s="155" t="s">
        <v>384</v>
      </c>
      <c r="AJ48" s="155" t="s">
        <v>384</v>
      </c>
      <c r="AK48" s="155" t="s">
        <v>384</v>
      </c>
      <c r="AL48" s="155" t="s">
        <v>384</v>
      </c>
      <c r="AM48" s="155" t="s">
        <v>384</v>
      </c>
      <c r="AN48" s="155" t="s">
        <v>384</v>
      </c>
      <c r="AO48" s="155" t="s">
        <v>384</v>
      </c>
      <c r="AP48" s="38" t="s">
        <v>312</v>
      </c>
      <c r="AQ48" s="37" t="s">
        <v>269</v>
      </c>
      <c r="AR48" s="155" t="s">
        <v>384</v>
      </c>
      <c r="AS48" s="155" t="s">
        <v>384</v>
      </c>
      <c r="AT48" s="155" t="s">
        <v>384</v>
      </c>
      <c r="AU48" s="155" t="s">
        <v>384</v>
      </c>
      <c r="AV48" s="28" t="s">
        <v>243</v>
      </c>
      <c r="AW48" s="28" t="s">
        <v>243</v>
      </c>
      <c r="AX48" s="28" t="s">
        <v>243</v>
      </c>
      <c r="AY48" s="28" t="s">
        <v>243</v>
      </c>
      <c r="AZ48" s="155" t="s">
        <v>384</v>
      </c>
      <c r="BA48" s="155" t="s">
        <v>384</v>
      </c>
      <c r="BB48" s="155" t="s">
        <v>384</v>
      </c>
      <c r="BC48" s="155" t="s">
        <v>384</v>
      </c>
      <c r="BD48" s="155" t="s">
        <v>250</v>
      </c>
      <c r="BE48" s="155" t="s">
        <v>384</v>
      </c>
      <c r="BF48" s="55" t="s">
        <v>40</v>
      </c>
      <c r="BG48" s="53" t="s">
        <v>220</v>
      </c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</row>
    <row r="49" spans="1:70" ht="20" x14ac:dyDescent="0.2">
      <c r="A49" s="66" t="s">
        <v>459</v>
      </c>
      <c r="B49" s="155" t="s">
        <v>384</v>
      </c>
      <c r="C49" s="155" t="s">
        <v>384</v>
      </c>
      <c r="D49" s="38" t="s">
        <v>252</v>
      </c>
      <c r="E49" s="63" t="s">
        <v>282</v>
      </c>
      <c r="F49" s="155" t="s">
        <v>384</v>
      </c>
      <c r="G49" s="155" t="s">
        <v>384</v>
      </c>
      <c r="H49" s="155" t="s">
        <v>384</v>
      </c>
      <c r="I49" s="155" t="s">
        <v>384</v>
      </c>
      <c r="J49" s="155" t="s">
        <v>384</v>
      </c>
      <c r="K49" s="155" t="s">
        <v>384</v>
      </c>
      <c r="L49" s="155" t="s">
        <v>384</v>
      </c>
      <c r="M49" s="155" t="s">
        <v>384</v>
      </c>
      <c r="N49" s="155" t="s">
        <v>384</v>
      </c>
      <c r="O49" s="155" t="s">
        <v>384</v>
      </c>
      <c r="P49" s="155" t="s">
        <v>384</v>
      </c>
      <c r="Q49" s="155" t="s">
        <v>384</v>
      </c>
      <c r="R49" s="38" t="s">
        <v>252</v>
      </c>
      <c r="S49" s="63" t="s">
        <v>282</v>
      </c>
      <c r="T49" s="155" t="s">
        <v>384</v>
      </c>
      <c r="U49" s="155" t="s">
        <v>384</v>
      </c>
      <c r="V49" s="155" t="s">
        <v>384</v>
      </c>
      <c r="W49" s="155" t="s">
        <v>384</v>
      </c>
      <c r="X49" s="155" t="s">
        <v>384</v>
      </c>
      <c r="Y49" s="155" t="s">
        <v>384</v>
      </c>
      <c r="Z49" s="155" t="s">
        <v>384</v>
      </c>
      <c r="AA49" s="155" t="s">
        <v>384</v>
      </c>
      <c r="AB49" s="155" t="s">
        <v>384</v>
      </c>
      <c r="AC49" s="155" t="s">
        <v>384</v>
      </c>
      <c r="AD49" s="155" t="s">
        <v>384</v>
      </c>
      <c r="AE49" s="155" t="s">
        <v>384</v>
      </c>
      <c r="AF49" s="38" t="s">
        <v>252</v>
      </c>
      <c r="AG49" s="63" t="s">
        <v>282</v>
      </c>
      <c r="AH49" s="155" t="s">
        <v>384</v>
      </c>
      <c r="AI49" s="155" t="s">
        <v>384</v>
      </c>
      <c r="AJ49" s="155" t="s">
        <v>384</v>
      </c>
      <c r="AK49" s="155" t="s">
        <v>384</v>
      </c>
      <c r="AL49" s="155" t="s">
        <v>384</v>
      </c>
      <c r="AM49" s="155" t="s">
        <v>384</v>
      </c>
      <c r="AN49" s="155" t="s">
        <v>384</v>
      </c>
      <c r="AO49" s="155" t="s">
        <v>384</v>
      </c>
      <c r="AP49" s="155" t="s">
        <v>384</v>
      </c>
      <c r="AQ49" s="155" t="s">
        <v>384</v>
      </c>
      <c r="AR49" s="155" t="s">
        <v>384</v>
      </c>
      <c r="AS49" s="155" t="s">
        <v>384</v>
      </c>
      <c r="AT49" s="38" t="s">
        <v>252</v>
      </c>
      <c r="AU49" s="63" t="s">
        <v>282</v>
      </c>
      <c r="AV49" s="155" t="s">
        <v>384</v>
      </c>
      <c r="AW49" s="155" t="s">
        <v>384</v>
      </c>
      <c r="AX49" s="155" t="s">
        <v>384</v>
      </c>
      <c r="AY49" s="155" t="s">
        <v>384</v>
      </c>
      <c r="AZ49" s="155" t="s">
        <v>384</v>
      </c>
      <c r="BA49" s="155" t="s">
        <v>384</v>
      </c>
      <c r="BB49" s="155" t="s">
        <v>384</v>
      </c>
      <c r="BC49" s="155" t="s">
        <v>384</v>
      </c>
      <c r="BD49" s="155" t="s">
        <v>250</v>
      </c>
      <c r="BE49" s="155" t="s">
        <v>251</v>
      </c>
      <c r="BF49" s="29" t="s">
        <v>44</v>
      </c>
      <c r="BG49" s="53" t="s">
        <v>220</v>
      </c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</row>
    <row r="50" spans="1:70" ht="20" x14ac:dyDescent="0.2">
      <c r="A50" s="66" t="s">
        <v>460</v>
      </c>
      <c r="B50" s="155" t="s">
        <v>461</v>
      </c>
      <c r="C50" s="155" t="s">
        <v>461</v>
      </c>
      <c r="D50" s="155" t="s">
        <v>461</v>
      </c>
      <c r="E50" s="155" t="s">
        <v>461</v>
      </c>
      <c r="F50" s="155" t="s">
        <v>461</v>
      </c>
      <c r="G50" s="155" t="s">
        <v>461</v>
      </c>
      <c r="H50" s="155" t="s">
        <v>461</v>
      </c>
      <c r="I50" s="155" t="s">
        <v>461</v>
      </c>
      <c r="J50" s="155" t="s">
        <v>461</v>
      </c>
      <c r="K50" s="155" t="s">
        <v>461</v>
      </c>
      <c r="L50" s="155" t="s">
        <v>461</v>
      </c>
      <c r="M50" s="155" t="s">
        <v>461</v>
      </c>
      <c r="N50" s="38" t="s">
        <v>252</v>
      </c>
      <c r="O50" s="155" t="s">
        <v>250</v>
      </c>
      <c r="P50" s="155" t="s">
        <v>461</v>
      </c>
      <c r="Q50" s="155" t="s">
        <v>461</v>
      </c>
      <c r="R50" s="155" t="s">
        <v>461</v>
      </c>
      <c r="S50" s="155" t="s">
        <v>461</v>
      </c>
      <c r="T50" s="155" t="s">
        <v>461</v>
      </c>
      <c r="U50" s="155" t="s">
        <v>461</v>
      </c>
      <c r="V50" s="155" t="s">
        <v>461</v>
      </c>
      <c r="W50" s="155" t="s">
        <v>461</v>
      </c>
      <c r="X50" s="155" t="s">
        <v>461</v>
      </c>
      <c r="Y50" s="155" t="s">
        <v>461</v>
      </c>
      <c r="Z50" s="155" t="s">
        <v>461</v>
      </c>
      <c r="AA50" s="155" t="s">
        <v>461</v>
      </c>
      <c r="AB50" s="38" t="s">
        <v>252</v>
      </c>
      <c r="AC50" s="155" t="s">
        <v>250</v>
      </c>
      <c r="AD50" s="155" t="s">
        <v>461</v>
      </c>
      <c r="AE50" s="155" t="s">
        <v>461</v>
      </c>
      <c r="AF50" s="155" t="s">
        <v>461</v>
      </c>
      <c r="AG50" s="155" t="s">
        <v>461</v>
      </c>
      <c r="AH50" s="155" t="s">
        <v>461</v>
      </c>
      <c r="AI50" s="155" t="s">
        <v>461</v>
      </c>
      <c r="AJ50" s="155" t="s">
        <v>461</v>
      </c>
      <c r="AK50" s="155" t="s">
        <v>461</v>
      </c>
      <c r="AL50" s="155" t="s">
        <v>461</v>
      </c>
      <c r="AM50" s="155" t="s">
        <v>461</v>
      </c>
      <c r="AN50" s="155" t="s">
        <v>461</v>
      </c>
      <c r="AO50" s="155" t="s">
        <v>461</v>
      </c>
      <c r="AP50" s="38" t="s">
        <v>252</v>
      </c>
      <c r="AQ50" s="37" t="s">
        <v>269</v>
      </c>
      <c r="AR50" s="155" t="s">
        <v>461</v>
      </c>
      <c r="AS50" s="155" t="s">
        <v>461</v>
      </c>
      <c r="AT50" s="155" t="s">
        <v>461</v>
      </c>
      <c r="AU50" s="155" t="s">
        <v>461</v>
      </c>
      <c r="AV50" s="28" t="s">
        <v>243</v>
      </c>
      <c r="AW50" s="28" t="s">
        <v>243</v>
      </c>
      <c r="AX50" s="28" t="s">
        <v>243</v>
      </c>
      <c r="AY50" s="28" t="s">
        <v>243</v>
      </c>
      <c r="AZ50" s="155" t="s">
        <v>461</v>
      </c>
      <c r="BA50" s="155" t="s">
        <v>461</v>
      </c>
      <c r="BB50" s="155" t="s">
        <v>461</v>
      </c>
      <c r="BC50" s="155" t="s">
        <v>461</v>
      </c>
      <c r="BD50" s="155" t="s">
        <v>250</v>
      </c>
      <c r="BE50" s="155" t="s">
        <v>251</v>
      </c>
      <c r="BF50" s="29" t="s">
        <v>44</v>
      </c>
      <c r="BG50" s="53" t="s">
        <v>220</v>
      </c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</row>
    <row r="51" spans="1:70" ht="20" x14ac:dyDescent="0.2">
      <c r="A51" s="71" t="s">
        <v>220</v>
      </c>
      <c r="B51" s="31" t="s">
        <v>220</v>
      </c>
      <c r="C51" s="31" t="s">
        <v>220</v>
      </c>
      <c r="D51" s="31" t="s">
        <v>220</v>
      </c>
      <c r="E51" s="31" t="s">
        <v>220</v>
      </c>
      <c r="F51" s="31" t="s">
        <v>220</v>
      </c>
      <c r="G51" s="31" t="s">
        <v>220</v>
      </c>
      <c r="H51" s="31" t="s">
        <v>220</v>
      </c>
      <c r="I51" s="31" t="s">
        <v>220</v>
      </c>
      <c r="J51" s="31" t="s">
        <v>220</v>
      </c>
      <c r="K51" s="31" t="s">
        <v>220</v>
      </c>
      <c r="L51" s="31" t="s">
        <v>220</v>
      </c>
      <c r="M51" s="31" t="s">
        <v>220</v>
      </c>
      <c r="N51" s="31" t="s">
        <v>220</v>
      </c>
      <c r="O51" s="31" t="s">
        <v>220</v>
      </c>
      <c r="P51" s="31" t="s">
        <v>220</v>
      </c>
      <c r="Q51" s="31" t="s">
        <v>220</v>
      </c>
      <c r="R51" s="31" t="s">
        <v>220</v>
      </c>
      <c r="S51" s="31" t="s">
        <v>220</v>
      </c>
      <c r="T51" s="31" t="s">
        <v>220</v>
      </c>
      <c r="U51" s="31" t="s">
        <v>220</v>
      </c>
      <c r="V51" s="31" t="s">
        <v>220</v>
      </c>
      <c r="W51" s="31" t="s">
        <v>220</v>
      </c>
      <c r="X51" s="31" t="s">
        <v>220</v>
      </c>
      <c r="Y51" s="31" t="s">
        <v>220</v>
      </c>
      <c r="Z51" s="31" t="s">
        <v>220</v>
      </c>
      <c r="AA51" s="31" t="s">
        <v>220</v>
      </c>
      <c r="AB51" s="31" t="s">
        <v>220</v>
      </c>
      <c r="AC51" s="31" t="s">
        <v>220</v>
      </c>
      <c r="AD51" s="31" t="s">
        <v>220</v>
      </c>
      <c r="AE51" s="31" t="s">
        <v>220</v>
      </c>
      <c r="AF51" s="31" t="s">
        <v>220</v>
      </c>
      <c r="AG51" s="31" t="s">
        <v>220</v>
      </c>
      <c r="AH51" s="31" t="s">
        <v>220</v>
      </c>
      <c r="AI51" s="31" t="s">
        <v>220</v>
      </c>
      <c r="AJ51" s="31" t="s">
        <v>220</v>
      </c>
      <c r="AK51" s="31" t="s">
        <v>220</v>
      </c>
      <c r="AL51" s="31" t="s">
        <v>220</v>
      </c>
      <c r="AM51" s="31" t="s">
        <v>220</v>
      </c>
      <c r="AN51" s="31" t="s">
        <v>220</v>
      </c>
      <c r="AO51" s="31" t="s">
        <v>220</v>
      </c>
      <c r="AP51" s="31" t="s">
        <v>220</v>
      </c>
      <c r="AQ51" s="31" t="s">
        <v>220</v>
      </c>
      <c r="AR51" s="31" t="s">
        <v>220</v>
      </c>
      <c r="AS51" s="31" t="s">
        <v>220</v>
      </c>
      <c r="AT51" s="31" t="s">
        <v>220</v>
      </c>
      <c r="AU51" s="31" t="s">
        <v>220</v>
      </c>
      <c r="AV51" s="31" t="s">
        <v>220</v>
      </c>
      <c r="AW51" s="31" t="s">
        <v>220</v>
      </c>
      <c r="AX51" s="31" t="s">
        <v>220</v>
      </c>
      <c r="AY51" s="31" t="s">
        <v>220</v>
      </c>
      <c r="AZ51" s="31" t="s">
        <v>220</v>
      </c>
      <c r="BA51" s="31" t="s">
        <v>220</v>
      </c>
      <c r="BB51" s="31" t="s">
        <v>220</v>
      </c>
      <c r="BC51" s="31" t="s">
        <v>220</v>
      </c>
      <c r="BD51" s="31" t="s">
        <v>220</v>
      </c>
      <c r="BE51" s="31" t="s">
        <v>220</v>
      </c>
      <c r="BF51" s="55" t="s">
        <v>460</v>
      </c>
      <c r="BG51" s="53" t="s">
        <v>220</v>
      </c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</row>
    <row r="52" spans="1:70" ht="20" x14ac:dyDescent="0.2">
      <c r="A52" s="64" t="s">
        <v>220</v>
      </c>
      <c r="B52" s="18" t="s">
        <v>220</v>
      </c>
      <c r="C52" s="18" t="s">
        <v>220</v>
      </c>
      <c r="D52" s="18" t="s">
        <v>220</v>
      </c>
      <c r="E52" s="18" t="s">
        <v>220</v>
      </c>
      <c r="F52" s="18" t="s">
        <v>220</v>
      </c>
      <c r="G52" s="18" t="s">
        <v>220</v>
      </c>
      <c r="H52" s="18" t="s">
        <v>220</v>
      </c>
      <c r="I52" s="18" t="s">
        <v>220</v>
      </c>
      <c r="J52" s="18" t="s">
        <v>220</v>
      </c>
      <c r="K52" s="18" t="s">
        <v>220</v>
      </c>
      <c r="L52" s="18" t="s">
        <v>220</v>
      </c>
      <c r="M52" s="18" t="s">
        <v>220</v>
      </c>
      <c r="N52" s="18" t="s">
        <v>220</v>
      </c>
      <c r="O52" s="18" t="s">
        <v>220</v>
      </c>
      <c r="P52" s="18" t="s">
        <v>220</v>
      </c>
      <c r="Q52" s="18" t="s">
        <v>220</v>
      </c>
      <c r="R52" s="18" t="s">
        <v>220</v>
      </c>
      <c r="S52" s="18" t="s">
        <v>220</v>
      </c>
      <c r="T52" s="18" t="s">
        <v>220</v>
      </c>
      <c r="U52" s="18" t="s">
        <v>220</v>
      </c>
      <c r="V52" s="18" t="s">
        <v>220</v>
      </c>
      <c r="W52" s="18" t="s">
        <v>220</v>
      </c>
      <c r="X52" s="18" t="s">
        <v>220</v>
      </c>
      <c r="Y52" s="18" t="s">
        <v>220</v>
      </c>
      <c r="Z52" s="18" t="s">
        <v>220</v>
      </c>
      <c r="AA52" s="18" t="s">
        <v>220</v>
      </c>
      <c r="AB52" s="18" t="s">
        <v>220</v>
      </c>
      <c r="AC52" s="18" t="s">
        <v>220</v>
      </c>
      <c r="AD52" s="18" t="s">
        <v>220</v>
      </c>
      <c r="AE52" s="18" t="s">
        <v>220</v>
      </c>
      <c r="AF52" s="18" t="s">
        <v>220</v>
      </c>
      <c r="AG52" s="18" t="s">
        <v>220</v>
      </c>
      <c r="AH52" s="18" t="s">
        <v>220</v>
      </c>
      <c r="AI52" s="18" t="s">
        <v>220</v>
      </c>
      <c r="AJ52" s="18" t="s">
        <v>220</v>
      </c>
      <c r="AK52" s="18" t="s">
        <v>220</v>
      </c>
      <c r="AL52" s="18" t="s">
        <v>220</v>
      </c>
      <c r="AM52" s="18" t="s">
        <v>220</v>
      </c>
      <c r="AN52" s="18" t="s">
        <v>220</v>
      </c>
      <c r="AO52" s="18" t="s">
        <v>220</v>
      </c>
      <c r="AP52" s="18" t="s">
        <v>220</v>
      </c>
      <c r="AQ52" s="18" t="s">
        <v>220</v>
      </c>
      <c r="AR52" s="18" t="s">
        <v>220</v>
      </c>
      <c r="AS52" s="18" t="s">
        <v>220</v>
      </c>
      <c r="AT52" s="18" t="s">
        <v>220</v>
      </c>
      <c r="AU52" s="18" t="s">
        <v>220</v>
      </c>
      <c r="AV52" s="18" t="s">
        <v>220</v>
      </c>
      <c r="AW52" s="18" t="s">
        <v>220</v>
      </c>
      <c r="AX52" s="18" t="s">
        <v>220</v>
      </c>
      <c r="AY52" s="18" t="s">
        <v>220</v>
      </c>
      <c r="AZ52" s="18" t="s">
        <v>220</v>
      </c>
      <c r="BA52" s="18" t="s">
        <v>220</v>
      </c>
      <c r="BB52" s="18" t="s">
        <v>220</v>
      </c>
      <c r="BC52" s="18" t="s">
        <v>220</v>
      </c>
      <c r="BD52" s="18" t="s">
        <v>220</v>
      </c>
      <c r="BE52" s="18" t="s">
        <v>250</v>
      </c>
      <c r="BF52" s="29" t="s">
        <v>220</v>
      </c>
      <c r="BG52" s="72" t="s">
        <v>220</v>
      </c>
      <c r="BH52" s="72" t="s">
        <v>220</v>
      </c>
      <c r="BI52" s="72" t="s">
        <v>220</v>
      </c>
      <c r="BJ52" s="72" t="s">
        <v>220</v>
      </c>
      <c r="BK52" s="72" t="s">
        <v>220</v>
      </c>
      <c r="BL52" s="72" t="s">
        <v>220</v>
      </c>
      <c r="BM52" s="72" t="s">
        <v>220</v>
      </c>
      <c r="BN52" s="72" t="s">
        <v>220</v>
      </c>
      <c r="BO52" s="72" t="s">
        <v>220</v>
      </c>
      <c r="BP52" s="72" t="s">
        <v>220</v>
      </c>
      <c r="BQ52" s="72" t="s">
        <v>220</v>
      </c>
      <c r="BR52" s="72" t="s">
        <v>220</v>
      </c>
    </row>
    <row r="53" spans="1:70" ht="20" x14ac:dyDescent="0.2">
      <c r="A53" s="56" t="s">
        <v>462</v>
      </c>
      <c r="B53" s="155" t="s">
        <v>463</v>
      </c>
      <c r="C53" s="155" t="s">
        <v>463</v>
      </c>
      <c r="D53" s="155" t="s">
        <v>319</v>
      </c>
      <c r="E53" s="38" t="s">
        <v>329</v>
      </c>
      <c r="F53" s="28" t="s">
        <v>243</v>
      </c>
      <c r="G53" s="28" t="s">
        <v>243</v>
      </c>
      <c r="H53" s="28" t="s">
        <v>243</v>
      </c>
      <c r="I53" s="28" t="s">
        <v>243</v>
      </c>
      <c r="J53" s="38" t="s">
        <v>329</v>
      </c>
      <c r="K53" s="155" t="s">
        <v>463</v>
      </c>
      <c r="L53" s="155" t="s">
        <v>463</v>
      </c>
      <c r="M53" s="155" t="s">
        <v>464</v>
      </c>
      <c r="N53" s="155" t="s">
        <v>465</v>
      </c>
      <c r="O53" s="155" t="s">
        <v>250</v>
      </c>
      <c r="P53" s="38" t="s">
        <v>329</v>
      </c>
      <c r="Q53" s="38" t="s">
        <v>329</v>
      </c>
      <c r="R53" s="38" t="s">
        <v>329</v>
      </c>
      <c r="S53" s="38" t="s">
        <v>329</v>
      </c>
      <c r="T53" s="28" t="s">
        <v>243</v>
      </c>
      <c r="U53" s="28" t="s">
        <v>243</v>
      </c>
      <c r="V53" s="28" t="s">
        <v>243</v>
      </c>
      <c r="W53" s="28" t="s">
        <v>243</v>
      </c>
      <c r="X53" s="38" t="s">
        <v>329</v>
      </c>
      <c r="Y53" s="38" t="s">
        <v>329</v>
      </c>
      <c r="Z53" s="155" t="s">
        <v>463</v>
      </c>
      <c r="AA53" s="155" t="s">
        <v>464</v>
      </c>
      <c r="AB53" s="155" t="s">
        <v>465</v>
      </c>
      <c r="AC53" s="155" t="s">
        <v>250</v>
      </c>
      <c r="AD53" s="38" t="s">
        <v>312</v>
      </c>
      <c r="AE53" s="38" t="s">
        <v>312</v>
      </c>
      <c r="AF53" s="38" t="s">
        <v>312</v>
      </c>
      <c r="AG53" s="38" t="s">
        <v>312</v>
      </c>
      <c r="AH53" s="28" t="s">
        <v>243</v>
      </c>
      <c r="AI53" s="28" t="s">
        <v>243</v>
      </c>
      <c r="AJ53" s="28" t="s">
        <v>243</v>
      </c>
      <c r="AK53" s="28" t="s">
        <v>243</v>
      </c>
      <c r="AL53" s="38" t="s">
        <v>312</v>
      </c>
      <c r="AM53" s="38" t="s">
        <v>312</v>
      </c>
      <c r="AN53" s="155" t="s">
        <v>463</v>
      </c>
      <c r="AO53" s="155" t="s">
        <v>464</v>
      </c>
      <c r="AP53" s="155" t="s">
        <v>465</v>
      </c>
      <c r="AQ53" s="37" t="s">
        <v>269</v>
      </c>
      <c r="AR53" s="38" t="s">
        <v>312</v>
      </c>
      <c r="AS53" s="38" t="s">
        <v>312</v>
      </c>
      <c r="AT53" s="38" t="s">
        <v>312</v>
      </c>
      <c r="AU53" s="38" t="s">
        <v>312</v>
      </c>
      <c r="AV53" s="28" t="s">
        <v>243</v>
      </c>
      <c r="AW53" s="28" t="s">
        <v>243</v>
      </c>
      <c r="AX53" s="28" t="s">
        <v>243</v>
      </c>
      <c r="AY53" s="28" t="s">
        <v>243</v>
      </c>
      <c r="AZ53" s="38" t="s">
        <v>312</v>
      </c>
      <c r="BA53" s="38" t="s">
        <v>312</v>
      </c>
      <c r="BB53" s="155" t="s">
        <v>463</v>
      </c>
      <c r="BC53" s="155" t="s">
        <v>464</v>
      </c>
      <c r="BD53" s="155" t="s">
        <v>258</v>
      </c>
      <c r="BE53" s="155" t="s">
        <v>250</v>
      </c>
      <c r="BF53" s="73" t="s">
        <v>220</v>
      </c>
      <c r="BG53" s="12" t="s">
        <v>220</v>
      </c>
      <c r="BH53" s="12" t="s">
        <v>220</v>
      </c>
      <c r="BI53" s="12" t="s">
        <v>220</v>
      </c>
      <c r="BJ53" s="12" t="s">
        <v>220</v>
      </c>
      <c r="BK53" s="12" t="s">
        <v>220</v>
      </c>
      <c r="BL53" s="12" t="s">
        <v>220</v>
      </c>
      <c r="BM53" s="12" t="s">
        <v>220</v>
      </c>
      <c r="BN53" s="12" t="s">
        <v>220</v>
      </c>
      <c r="BO53" s="12" t="s">
        <v>220</v>
      </c>
      <c r="BP53" s="12" t="s">
        <v>220</v>
      </c>
      <c r="BQ53" s="12" t="s">
        <v>220</v>
      </c>
      <c r="BR53" s="12" t="s">
        <v>220</v>
      </c>
    </row>
    <row r="54" spans="1:70" ht="20" x14ac:dyDescent="0.2">
      <c r="A54" s="56" t="s">
        <v>466</v>
      </c>
      <c r="B54" s="155" t="s">
        <v>463</v>
      </c>
      <c r="C54" s="155" t="s">
        <v>463</v>
      </c>
      <c r="D54" s="155" t="s">
        <v>319</v>
      </c>
      <c r="E54" s="38" t="s">
        <v>329</v>
      </c>
      <c r="F54" s="28" t="s">
        <v>243</v>
      </c>
      <c r="G54" s="28" t="s">
        <v>243</v>
      </c>
      <c r="H54" s="28" t="s">
        <v>243</v>
      </c>
      <c r="I54" s="28" t="s">
        <v>243</v>
      </c>
      <c r="J54" s="38" t="s">
        <v>329</v>
      </c>
      <c r="K54" s="155" t="s">
        <v>463</v>
      </c>
      <c r="L54" s="38" t="s">
        <v>329</v>
      </c>
      <c r="M54" s="38" t="s">
        <v>329</v>
      </c>
      <c r="N54" s="155" t="s">
        <v>258</v>
      </c>
      <c r="O54" s="155" t="s">
        <v>250</v>
      </c>
      <c r="P54" s="38" t="s">
        <v>329</v>
      </c>
      <c r="Q54" s="38" t="s">
        <v>329</v>
      </c>
      <c r="R54" s="38" t="s">
        <v>329</v>
      </c>
      <c r="S54" s="38" t="s">
        <v>329</v>
      </c>
      <c r="T54" s="28" t="s">
        <v>243</v>
      </c>
      <c r="U54" s="28" t="s">
        <v>243</v>
      </c>
      <c r="V54" s="28" t="s">
        <v>243</v>
      </c>
      <c r="W54" s="28" t="s">
        <v>243</v>
      </c>
      <c r="X54" s="38" t="s">
        <v>329</v>
      </c>
      <c r="Y54" s="38" t="s">
        <v>329</v>
      </c>
      <c r="Z54" s="38" t="s">
        <v>329</v>
      </c>
      <c r="AA54" s="38" t="s">
        <v>329</v>
      </c>
      <c r="AB54" s="155" t="s">
        <v>258</v>
      </c>
      <c r="AC54" s="155" t="s">
        <v>250</v>
      </c>
      <c r="AD54" s="38" t="s">
        <v>312</v>
      </c>
      <c r="AE54" s="38" t="s">
        <v>312</v>
      </c>
      <c r="AF54" s="38" t="s">
        <v>312</v>
      </c>
      <c r="AG54" s="38" t="s">
        <v>312</v>
      </c>
      <c r="AH54" s="28" t="s">
        <v>243</v>
      </c>
      <c r="AI54" s="28" t="s">
        <v>243</v>
      </c>
      <c r="AJ54" s="28" t="s">
        <v>243</v>
      </c>
      <c r="AK54" s="28" t="s">
        <v>243</v>
      </c>
      <c r="AL54" s="38" t="s">
        <v>312</v>
      </c>
      <c r="AM54" s="38" t="s">
        <v>312</v>
      </c>
      <c r="AN54" s="38" t="s">
        <v>312</v>
      </c>
      <c r="AO54" s="38" t="s">
        <v>312</v>
      </c>
      <c r="AP54" s="155" t="s">
        <v>258</v>
      </c>
      <c r="AQ54" s="37" t="s">
        <v>269</v>
      </c>
      <c r="AR54" s="38" t="s">
        <v>312</v>
      </c>
      <c r="AS54" s="38" t="s">
        <v>312</v>
      </c>
      <c r="AT54" s="38" t="s">
        <v>312</v>
      </c>
      <c r="AU54" s="38" t="s">
        <v>312</v>
      </c>
      <c r="AV54" s="28" t="s">
        <v>243</v>
      </c>
      <c r="AW54" s="28" t="s">
        <v>243</v>
      </c>
      <c r="AX54" s="28" t="s">
        <v>243</v>
      </c>
      <c r="AY54" s="28" t="s">
        <v>243</v>
      </c>
      <c r="AZ54" s="38" t="s">
        <v>312</v>
      </c>
      <c r="BA54" s="38" t="s">
        <v>312</v>
      </c>
      <c r="BB54" s="38" t="s">
        <v>312</v>
      </c>
      <c r="BC54" s="38" t="s">
        <v>312</v>
      </c>
      <c r="BD54" s="155" t="s">
        <v>258</v>
      </c>
      <c r="BE54" s="155"/>
      <c r="BF54" s="74" t="s">
        <v>462</v>
      </c>
      <c r="BG54" s="53" t="s">
        <v>220</v>
      </c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</row>
    <row r="55" spans="1:70" ht="20" x14ac:dyDescent="0.2">
      <c r="A55" s="56" t="s">
        <v>220</v>
      </c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55" t="s">
        <v>466</v>
      </c>
      <c r="BG55" s="53" t="s">
        <v>220</v>
      </c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</row>
    <row r="56" spans="1:70" ht="20" x14ac:dyDescent="0.2">
      <c r="A56" s="56" t="s">
        <v>467</v>
      </c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29" t="s">
        <v>220</v>
      </c>
      <c r="BG56" s="53" t="s">
        <v>220</v>
      </c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</row>
    <row r="57" spans="1:70" ht="20" x14ac:dyDescent="0.2">
      <c r="A57" s="8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>
        <v>0</v>
      </c>
      <c r="BF57" s="29" t="s">
        <v>468</v>
      </c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</row>
    <row r="58" spans="1:70" ht="20" x14ac:dyDescent="0.2">
      <c r="A58" s="8"/>
      <c r="B58" s="155">
        <v>7</v>
      </c>
      <c r="C58" s="155">
        <v>15</v>
      </c>
      <c r="D58" s="155">
        <v>12</v>
      </c>
      <c r="E58" s="155">
        <v>19</v>
      </c>
      <c r="F58" s="155"/>
      <c r="G58" s="155"/>
      <c r="H58" s="155"/>
      <c r="I58" s="155"/>
      <c r="J58" s="155">
        <v>10</v>
      </c>
      <c r="K58" s="155">
        <v>8</v>
      </c>
      <c r="L58" s="155">
        <v>8</v>
      </c>
      <c r="M58" s="155">
        <v>13</v>
      </c>
      <c r="N58" s="155">
        <v>16</v>
      </c>
      <c r="O58" s="155">
        <v>0</v>
      </c>
      <c r="P58" s="155">
        <v>10</v>
      </c>
      <c r="Q58" s="155">
        <v>11</v>
      </c>
      <c r="R58" s="155">
        <v>9</v>
      </c>
      <c r="S58" s="155">
        <v>19</v>
      </c>
      <c r="T58" s="155"/>
      <c r="U58" s="155"/>
      <c r="V58" s="155"/>
      <c r="W58" s="155"/>
      <c r="X58" s="155">
        <v>13</v>
      </c>
      <c r="Y58" s="155">
        <v>12</v>
      </c>
      <c r="Z58" s="155">
        <v>7</v>
      </c>
      <c r="AA58" s="155">
        <v>14</v>
      </c>
      <c r="AB58" s="155">
        <v>15</v>
      </c>
      <c r="AC58" s="155">
        <v>0</v>
      </c>
      <c r="AD58" s="155">
        <v>12</v>
      </c>
      <c r="AE58" s="155">
        <v>14</v>
      </c>
      <c r="AF58" s="155">
        <v>12</v>
      </c>
      <c r="AG58" s="155">
        <v>16</v>
      </c>
      <c r="AH58" s="155"/>
      <c r="AI58" s="155"/>
      <c r="AJ58" s="155"/>
      <c r="AK58" s="155"/>
      <c r="AL58" s="155">
        <v>11</v>
      </c>
      <c r="AM58" s="155">
        <v>11</v>
      </c>
      <c r="AN58" s="155">
        <v>13</v>
      </c>
      <c r="AO58" s="155">
        <v>15</v>
      </c>
      <c r="AP58" s="155">
        <v>14</v>
      </c>
      <c r="AQ58" s="155">
        <v>0</v>
      </c>
      <c r="AR58" s="155">
        <v>13</v>
      </c>
      <c r="AS58" s="155">
        <v>11</v>
      </c>
      <c r="AT58" s="155">
        <v>10</v>
      </c>
      <c r="AU58" s="155">
        <v>19</v>
      </c>
      <c r="AV58" s="155"/>
      <c r="AW58" s="155"/>
      <c r="AX58" s="155"/>
      <c r="AY58" s="155"/>
      <c r="AZ58" s="155">
        <v>12</v>
      </c>
      <c r="BA58" s="155">
        <v>11</v>
      </c>
      <c r="BB58" s="155">
        <v>10</v>
      </c>
      <c r="BC58" s="155">
        <v>18</v>
      </c>
      <c r="BD58" s="155">
        <v>0</v>
      </c>
      <c r="BE58" s="155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</row>
    <row r="59" spans="1:70" ht="20" x14ac:dyDescent="0.2">
      <c r="A59" s="8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</row>
    <row r="60" spans="1:70" ht="20" x14ac:dyDescent="0.2">
      <c r="A60" s="75" t="s">
        <v>469</v>
      </c>
      <c r="B60" s="7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 t="s">
        <v>250</v>
      </c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</row>
    <row r="61" spans="1:70" ht="20" x14ac:dyDescent="0.2">
      <c r="A61" s="180" t="s">
        <v>470</v>
      </c>
      <c r="B61" s="155" t="s">
        <v>274</v>
      </c>
      <c r="C61" s="38" t="s">
        <v>252</v>
      </c>
      <c r="D61" s="38" t="s">
        <v>252</v>
      </c>
      <c r="E61" s="38" t="s">
        <v>252</v>
      </c>
      <c r="F61" s="28" t="s">
        <v>243</v>
      </c>
      <c r="G61" s="28" t="s">
        <v>243</v>
      </c>
      <c r="H61" s="28" t="s">
        <v>243</v>
      </c>
      <c r="I61" s="28" t="s">
        <v>243</v>
      </c>
      <c r="J61" s="155" t="s">
        <v>274</v>
      </c>
      <c r="K61" s="38" t="s">
        <v>252</v>
      </c>
      <c r="L61" s="155" t="s">
        <v>274</v>
      </c>
      <c r="M61" s="38" t="s">
        <v>252</v>
      </c>
      <c r="N61" s="155" t="s">
        <v>274</v>
      </c>
      <c r="O61" s="155" t="s">
        <v>250</v>
      </c>
      <c r="P61" s="155" t="s">
        <v>274</v>
      </c>
      <c r="Q61" s="38" t="s">
        <v>252</v>
      </c>
      <c r="R61" s="155" t="s">
        <v>274</v>
      </c>
      <c r="S61" s="38" t="s">
        <v>252</v>
      </c>
      <c r="T61" s="28" t="s">
        <v>243</v>
      </c>
      <c r="U61" s="28" t="s">
        <v>243</v>
      </c>
      <c r="V61" s="28" t="s">
        <v>243</v>
      </c>
      <c r="W61" s="28" t="s">
        <v>243</v>
      </c>
      <c r="X61" s="155" t="s">
        <v>274</v>
      </c>
      <c r="Y61" s="38" t="s">
        <v>252</v>
      </c>
      <c r="Z61" s="155" t="s">
        <v>274</v>
      </c>
      <c r="AA61" s="38" t="s">
        <v>252</v>
      </c>
      <c r="AB61" s="155" t="s">
        <v>274</v>
      </c>
      <c r="AC61" s="155" t="s">
        <v>250</v>
      </c>
      <c r="AD61" s="155" t="s">
        <v>274</v>
      </c>
      <c r="AE61" s="38" t="s">
        <v>252</v>
      </c>
      <c r="AF61" s="155" t="s">
        <v>274</v>
      </c>
      <c r="AG61" s="38" t="s">
        <v>252</v>
      </c>
      <c r="AH61" s="28" t="s">
        <v>243</v>
      </c>
      <c r="AI61" s="28" t="s">
        <v>243</v>
      </c>
      <c r="AJ61" s="28" t="s">
        <v>243</v>
      </c>
      <c r="AK61" s="28" t="s">
        <v>243</v>
      </c>
      <c r="AL61" s="155" t="s">
        <v>274</v>
      </c>
      <c r="AM61" s="38" t="s">
        <v>252</v>
      </c>
      <c r="AN61" s="155" t="s">
        <v>274</v>
      </c>
      <c r="AO61" s="38" t="s">
        <v>252</v>
      </c>
      <c r="AP61" s="59" t="s">
        <v>341</v>
      </c>
      <c r="AQ61" s="37" t="s">
        <v>269</v>
      </c>
      <c r="AR61" s="155" t="s">
        <v>274</v>
      </c>
      <c r="AS61" s="38" t="s">
        <v>252</v>
      </c>
      <c r="AT61" s="155" t="s">
        <v>274</v>
      </c>
      <c r="AU61" s="155" t="s">
        <v>274</v>
      </c>
      <c r="AV61" s="28" t="s">
        <v>243</v>
      </c>
      <c r="AW61" s="28" t="s">
        <v>243</v>
      </c>
      <c r="AX61" s="28" t="s">
        <v>243</v>
      </c>
      <c r="AY61" s="28" t="s">
        <v>243</v>
      </c>
      <c r="AZ61" s="155" t="s">
        <v>274</v>
      </c>
      <c r="BA61" s="38" t="s">
        <v>252</v>
      </c>
      <c r="BB61" s="155" t="s">
        <v>274</v>
      </c>
      <c r="BC61" s="38" t="s">
        <v>252</v>
      </c>
      <c r="BD61" s="155" t="s">
        <v>251</v>
      </c>
      <c r="BE61" s="155" t="s">
        <v>250</v>
      </c>
      <c r="BF61" s="8"/>
      <c r="BG61" s="53" t="s">
        <v>220</v>
      </c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</row>
    <row r="62" spans="1:70" ht="20" x14ac:dyDescent="0.2">
      <c r="A62" s="29" t="s">
        <v>471</v>
      </c>
      <c r="B62" s="155" t="s">
        <v>322</v>
      </c>
      <c r="C62" s="38" t="s">
        <v>252</v>
      </c>
      <c r="D62" s="155" t="s">
        <v>322</v>
      </c>
      <c r="E62" s="38" t="s">
        <v>252</v>
      </c>
      <c r="F62" s="28" t="s">
        <v>243</v>
      </c>
      <c r="G62" s="28" t="s">
        <v>243</v>
      </c>
      <c r="H62" s="28" t="s">
        <v>243</v>
      </c>
      <c r="I62" s="28" t="s">
        <v>243</v>
      </c>
      <c r="J62" s="155" t="s">
        <v>322</v>
      </c>
      <c r="K62" s="38" t="s">
        <v>252</v>
      </c>
      <c r="L62" s="155" t="s">
        <v>322</v>
      </c>
      <c r="M62" s="38" t="s">
        <v>252</v>
      </c>
      <c r="N62" s="155" t="s">
        <v>322</v>
      </c>
      <c r="O62" s="155" t="s">
        <v>250</v>
      </c>
      <c r="P62" s="38" t="s">
        <v>252</v>
      </c>
      <c r="Q62" s="155" t="s">
        <v>322</v>
      </c>
      <c r="R62" s="155" t="s">
        <v>322</v>
      </c>
      <c r="S62" s="155" t="s">
        <v>322</v>
      </c>
      <c r="T62" s="28" t="s">
        <v>243</v>
      </c>
      <c r="U62" s="28" t="s">
        <v>243</v>
      </c>
      <c r="V62" s="28" t="s">
        <v>243</v>
      </c>
      <c r="W62" s="28" t="s">
        <v>243</v>
      </c>
      <c r="X62" s="155" t="s">
        <v>322</v>
      </c>
      <c r="Y62" s="38" t="s">
        <v>252</v>
      </c>
      <c r="Z62" s="155" t="s">
        <v>322</v>
      </c>
      <c r="AA62" s="38" t="s">
        <v>252</v>
      </c>
      <c r="AB62" s="155" t="s">
        <v>322</v>
      </c>
      <c r="AC62" s="155" t="s">
        <v>250</v>
      </c>
      <c r="AD62" s="38" t="s">
        <v>252</v>
      </c>
      <c r="AE62" s="155" t="s">
        <v>322</v>
      </c>
      <c r="AF62" s="155" t="s">
        <v>322</v>
      </c>
      <c r="AG62" s="155" t="s">
        <v>322</v>
      </c>
      <c r="AH62" s="28" t="s">
        <v>243</v>
      </c>
      <c r="AI62" s="28" t="s">
        <v>243</v>
      </c>
      <c r="AJ62" s="28" t="s">
        <v>243</v>
      </c>
      <c r="AK62" s="28" t="s">
        <v>243</v>
      </c>
      <c r="AL62" s="155" t="s">
        <v>322</v>
      </c>
      <c r="AM62" s="38" t="s">
        <v>252</v>
      </c>
      <c r="AN62" s="155" t="s">
        <v>322</v>
      </c>
      <c r="AO62" s="38" t="s">
        <v>252</v>
      </c>
      <c r="AP62" s="155" t="s">
        <v>322</v>
      </c>
      <c r="AQ62" s="37" t="s">
        <v>269</v>
      </c>
      <c r="AR62" s="38" t="s">
        <v>252</v>
      </c>
      <c r="AS62" s="155" t="s">
        <v>322</v>
      </c>
      <c r="AT62" s="59" t="s">
        <v>341</v>
      </c>
      <c r="AU62" s="38" t="s">
        <v>252</v>
      </c>
      <c r="AV62" s="28" t="s">
        <v>243</v>
      </c>
      <c r="AW62" s="28" t="s">
        <v>243</v>
      </c>
      <c r="AX62" s="28" t="s">
        <v>243</v>
      </c>
      <c r="AY62" s="28" t="s">
        <v>243</v>
      </c>
      <c r="AZ62" s="155" t="s">
        <v>322</v>
      </c>
      <c r="BA62" s="38" t="s">
        <v>252</v>
      </c>
      <c r="BB62" s="155" t="s">
        <v>322</v>
      </c>
      <c r="BC62" s="38" t="s">
        <v>252</v>
      </c>
      <c r="BD62" s="155" t="s">
        <v>251</v>
      </c>
      <c r="BE62" s="155" t="s">
        <v>250</v>
      </c>
      <c r="BF62" s="154" t="s">
        <v>470</v>
      </c>
      <c r="BG62" s="53" t="s">
        <v>220</v>
      </c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</row>
    <row r="63" spans="1:70" ht="20" x14ac:dyDescent="0.2">
      <c r="A63" s="8" t="s">
        <v>472</v>
      </c>
      <c r="B63" s="155" t="s">
        <v>322</v>
      </c>
      <c r="C63" s="155" t="s">
        <v>473</v>
      </c>
      <c r="D63" s="38" t="s">
        <v>252</v>
      </c>
      <c r="E63" s="38" t="s">
        <v>252</v>
      </c>
      <c r="F63" s="28" t="s">
        <v>243</v>
      </c>
      <c r="G63" s="28" t="s">
        <v>243</v>
      </c>
      <c r="H63" s="28" t="s">
        <v>243</v>
      </c>
      <c r="I63" s="28" t="s">
        <v>243</v>
      </c>
      <c r="J63" s="155" t="s">
        <v>473</v>
      </c>
      <c r="K63" s="38" t="s">
        <v>252</v>
      </c>
      <c r="L63" s="155" t="s">
        <v>473</v>
      </c>
      <c r="M63" s="38" t="s">
        <v>252</v>
      </c>
      <c r="N63" s="155" t="s">
        <v>473</v>
      </c>
      <c r="O63" s="155" t="s">
        <v>250</v>
      </c>
      <c r="P63" s="155" t="s">
        <v>474</v>
      </c>
      <c r="Q63" s="155" t="s">
        <v>474</v>
      </c>
      <c r="R63" s="155" t="s">
        <v>474</v>
      </c>
      <c r="S63" s="38" t="s">
        <v>252</v>
      </c>
      <c r="T63" s="28" t="s">
        <v>243</v>
      </c>
      <c r="U63" s="28" t="s">
        <v>243</v>
      </c>
      <c r="V63" s="28" t="s">
        <v>243</v>
      </c>
      <c r="W63" s="28" t="s">
        <v>243</v>
      </c>
      <c r="X63" s="155" t="s">
        <v>473</v>
      </c>
      <c r="Y63" s="38" t="s">
        <v>252</v>
      </c>
      <c r="Z63" s="155" t="s">
        <v>473</v>
      </c>
      <c r="AA63" s="38" t="s">
        <v>252</v>
      </c>
      <c r="AB63" s="59" t="s">
        <v>341</v>
      </c>
      <c r="AC63" s="155" t="s">
        <v>250</v>
      </c>
      <c r="AD63" s="155" t="s">
        <v>474</v>
      </c>
      <c r="AE63" s="155" t="s">
        <v>474</v>
      </c>
      <c r="AF63" s="155" t="s">
        <v>474</v>
      </c>
      <c r="AG63" s="38" t="s">
        <v>252</v>
      </c>
      <c r="AH63" s="28" t="s">
        <v>243</v>
      </c>
      <c r="AI63" s="28" t="s">
        <v>243</v>
      </c>
      <c r="AJ63" s="28" t="s">
        <v>243</v>
      </c>
      <c r="AK63" s="28" t="s">
        <v>243</v>
      </c>
      <c r="AL63" s="155" t="s">
        <v>473</v>
      </c>
      <c r="AM63" s="38" t="s">
        <v>252</v>
      </c>
      <c r="AN63" s="155" t="s">
        <v>473</v>
      </c>
      <c r="AO63" s="38" t="s">
        <v>252</v>
      </c>
      <c r="AP63" s="155" t="s">
        <v>473</v>
      </c>
      <c r="AQ63" s="155" t="s">
        <v>250</v>
      </c>
      <c r="AR63" s="155" t="s">
        <v>474</v>
      </c>
      <c r="AS63" s="155" t="s">
        <v>474</v>
      </c>
      <c r="AT63" s="155" t="s">
        <v>474</v>
      </c>
      <c r="AU63" s="38" t="s">
        <v>252</v>
      </c>
      <c r="AV63" s="28" t="s">
        <v>243</v>
      </c>
      <c r="AW63" s="28" t="s">
        <v>243</v>
      </c>
      <c r="AX63" s="28" t="s">
        <v>243</v>
      </c>
      <c r="AY63" s="28" t="s">
        <v>243</v>
      </c>
      <c r="AZ63" s="155" t="s">
        <v>473</v>
      </c>
      <c r="BA63" s="38" t="s">
        <v>252</v>
      </c>
      <c r="BB63" s="155" t="s">
        <v>473</v>
      </c>
      <c r="BC63" s="38" t="s">
        <v>252</v>
      </c>
      <c r="BD63" s="155" t="s">
        <v>251</v>
      </c>
      <c r="BE63" s="155" t="s">
        <v>250</v>
      </c>
      <c r="BF63" s="55" t="s">
        <v>471</v>
      </c>
      <c r="BG63" s="53" t="s">
        <v>220</v>
      </c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</row>
    <row r="64" spans="1:70" ht="20" x14ac:dyDescent="0.2">
      <c r="A64" s="179" t="s">
        <v>475</v>
      </c>
      <c r="B64" s="155" t="s">
        <v>322</v>
      </c>
      <c r="C64" s="155" t="s">
        <v>476</v>
      </c>
      <c r="D64" s="38" t="s">
        <v>252</v>
      </c>
      <c r="E64" s="155" t="s">
        <v>476</v>
      </c>
      <c r="F64" s="28" t="s">
        <v>243</v>
      </c>
      <c r="G64" s="28" t="s">
        <v>243</v>
      </c>
      <c r="H64" s="28" t="s">
        <v>243</v>
      </c>
      <c r="I64" s="28" t="s">
        <v>243</v>
      </c>
      <c r="J64" s="38" t="s">
        <v>252</v>
      </c>
      <c r="K64" s="38" t="s">
        <v>252</v>
      </c>
      <c r="L64" s="155" t="s">
        <v>477</v>
      </c>
      <c r="M64" s="38" t="s">
        <v>252</v>
      </c>
      <c r="N64" s="155" t="s">
        <v>476</v>
      </c>
      <c r="O64" s="155" t="s">
        <v>250</v>
      </c>
      <c r="P64" s="155" t="s">
        <v>476</v>
      </c>
      <c r="Q64" s="155" t="s">
        <v>476</v>
      </c>
      <c r="R64" s="38" t="s">
        <v>252</v>
      </c>
      <c r="S64" s="155" t="s">
        <v>476</v>
      </c>
      <c r="T64" s="28" t="s">
        <v>243</v>
      </c>
      <c r="U64" s="28" t="s">
        <v>243</v>
      </c>
      <c r="V64" s="28" t="s">
        <v>243</v>
      </c>
      <c r="W64" s="28" t="s">
        <v>243</v>
      </c>
      <c r="X64" s="38" t="s">
        <v>252</v>
      </c>
      <c r="Y64" s="38" t="s">
        <v>252</v>
      </c>
      <c r="Z64" s="155" t="s">
        <v>477</v>
      </c>
      <c r="AA64" s="38" t="s">
        <v>252</v>
      </c>
      <c r="AB64" s="155" t="s">
        <v>476</v>
      </c>
      <c r="AC64" s="155" t="s">
        <v>250</v>
      </c>
      <c r="AD64" s="155" t="s">
        <v>476</v>
      </c>
      <c r="AE64" s="155" t="s">
        <v>476</v>
      </c>
      <c r="AF64" s="38" t="s">
        <v>252</v>
      </c>
      <c r="AG64" s="155" t="s">
        <v>476</v>
      </c>
      <c r="AH64" s="28" t="s">
        <v>243</v>
      </c>
      <c r="AI64" s="28" t="s">
        <v>243</v>
      </c>
      <c r="AJ64" s="28" t="s">
        <v>243</v>
      </c>
      <c r="AK64" s="28" t="s">
        <v>243</v>
      </c>
      <c r="AL64" s="38" t="s">
        <v>252</v>
      </c>
      <c r="AM64" s="38" t="s">
        <v>252</v>
      </c>
      <c r="AN64" s="155" t="s">
        <v>477</v>
      </c>
      <c r="AO64" s="155" t="s">
        <v>476</v>
      </c>
      <c r="AP64" s="155" t="s">
        <v>476</v>
      </c>
      <c r="AQ64" s="37" t="s">
        <v>269</v>
      </c>
      <c r="AR64" s="155" t="s">
        <v>476</v>
      </c>
      <c r="AS64" s="155" t="s">
        <v>476</v>
      </c>
      <c r="AT64" s="38" t="s">
        <v>252</v>
      </c>
      <c r="AU64" s="59" t="s">
        <v>341</v>
      </c>
      <c r="AV64" s="28" t="s">
        <v>243</v>
      </c>
      <c r="AW64" s="28" t="s">
        <v>243</v>
      </c>
      <c r="AX64" s="28" t="s">
        <v>243</v>
      </c>
      <c r="AY64" s="28" t="s">
        <v>243</v>
      </c>
      <c r="AZ64" s="38" t="s">
        <v>252</v>
      </c>
      <c r="BA64" s="38" t="s">
        <v>252</v>
      </c>
      <c r="BB64" s="155" t="s">
        <v>477</v>
      </c>
      <c r="BC64" s="38" t="s">
        <v>252</v>
      </c>
      <c r="BD64" s="155" t="s">
        <v>251</v>
      </c>
      <c r="BE64" s="155" t="s">
        <v>250</v>
      </c>
      <c r="BF64" s="55" t="s">
        <v>478</v>
      </c>
      <c r="BG64" s="53" t="s">
        <v>220</v>
      </c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</row>
    <row r="65" spans="1:70" ht="20" x14ac:dyDescent="0.2">
      <c r="A65" s="56" t="s">
        <v>479</v>
      </c>
      <c r="B65" s="155" t="s">
        <v>322</v>
      </c>
      <c r="C65" s="155" t="s">
        <v>342</v>
      </c>
      <c r="D65" s="38" t="s">
        <v>252</v>
      </c>
      <c r="E65" s="155" t="s">
        <v>480</v>
      </c>
      <c r="F65" s="28" t="s">
        <v>243</v>
      </c>
      <c r="G65" s="28" t="s">
        <v>243</v>
      </c>
      <c r="H65" s="28" t="s">
        <v>243</v>
      </c>
      <c r="I65" s="28" t="s">
        <v>243</v>
      </c>
      <c r="J65" s="155" t="s">
        <v>342</v>
      </c>
      <c r="K65" s="155" t="s">
        <v>480</v>
      </c>
      <c r="L65" s="38" t="s">
        <v>252</v>
      </c>
      <c r="M65" s="38" t="s">
        <v>252</v>
      </c>
      <c r="N65" s="155" t="s">
        <v>342</v>
      </c>
      <c r="O65" s="155" t="s">
        <v>250</v>
      </c>
      <c r="P65" s="38" t="s">
        <v>252</v>
      </c>
      <c r="Q65" s="38" t="s">
        <v>252</v>
      </c>
      <c r="R65" s="155" t="s">
        <v>480</v>
      </c>
      <c r="S65" s="155" t="s">
        <v>342</v>
      </c>
      <c r="T65" s="28" t="s">
        <v>243</v>
      </c>
      <c r="U65" s="28" t="s">
        <v>243</v>
      </c>
      <c r="V65" s="28" t="s">
        <v>243</v>
      </c>
      <c r="W65" s="28" t="s">
        <v>243</v>
      </c>
      <c r="X65" s="155" t="s">
        <v>342</v>
      </c>
      <c r="Y65" s="155" t="s">
        <v>480</v>
      </c>
      <c r="Z65" s="38" t="s">
        <v>252</v>
      </c>
      <c r="AA65" s="38" t="s">
        <v>252</v>
      </c>
      <c r="AB65" s="155" t="s">
        <v>342</v>
      </c>
      <c r="AC65" s="155" t="s">
        <v>250</v>
      </c>
      <c r="AD65" s="38" t="s">
        <v>252</v>
      </c>
      <c r="AE65" s="38" t="s">
        <v>252</v>
      </c>
      <c r="AF65" s="155" t="s">
        <v>480</v>
      </c>
      <c r="AG65" s="155" t="s">
        <v>342</v>
      </c>
      <c r="AH65" s="28" t="s">
        <v>243</v>
      </c>
      <c r="AI65" s="28" t="s">
        <v>243</v>
      </c>
      <c r="AJ65" s="28" t="s">
        <v>243</v>
      </c>
      <c r="AK65" s="28" t="s">
        <v>243</v>
      </c>
      <c r="AL65" s="155" t="s">
        <v>342</v>
      </c>
      <c r="AM65" s="155" t="s">
        <v>480</v>
      </c>
      <c r="AN65" s="38" t="s">
        <v>252</v>
      </c>
      <c r="AO65" s="38" t="s">
        <v>252</v>
      </c>
      <c r="AP65" s="155" t="s">
        <v>342</v>
      </c>
      <c r="AQ65" s="37" t="s">
        <v>269</v>
      </c>
      <c r="AR65" s="38" t="s">
        <v>252</v>
      </c>
      <c r="AS65" s="38" t="s">
        <v>252</v>
      </c>
      <c r="AT65" s="155" t="s">
        <v>480</v>
      </c>
      <c r="AU65" s="155" t="s">
        <v>342</v>
      </c>
      <c r="AV65" s="28" t="s">
        <v>243</v>
      </c>
      <c r="AW65" s="28" t="s">
        <v>243</v>
      </c>
      <c r="AX65" s="28" t="s">
        <v>243</v>
      </c>
      <c r="AY65" s="28" t="s">
        <v>243</v>
      </c>
      <c r="AZ65" s="155" t="s">
        <v>342</v>
      </c>
      <c r="BA65" s="155" t="s">
        <v>480</v>
      </c>
      <c r="BB65" s="38" t="s">
        <v>252</v>
      </c>
      <c r="BC65" s="38" t="s">
        <v>252</v>
      </c>
      <c r="BD65" s="155" t="s">
        <v>251</v>
      </c>
      <c r="BE65" s="155" t="s">
        <v>250</v>
      </c>
      <c r="BF65" s="55" t="s">
        <v>475</v>
      </c>
      <c r="BG65" s="53" t="s">
        <v>220</v>
      </c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</row>
    <row r="66" spans="1:70" ht="20" x14ac:dyDescent="0.2">
      <c r="A66" s="56" t="s">
        <v>481</v>
      </c>
      <c r="B66" s="155" t="s">
        <v>322</v>
      </c>
      <c r="C66" s="155" t="s">
        <v>342</v>
      </c>
      <c r="D66" s="38" t="s">
        <v>252</v>
      </c>
      <c r="E66" s="155" t="s">
        <v>342</v>
      </c>
      <c r="F66" s="28" t="s">
        <v>243</v>
      </c>
      <c r="G66" s="28" t="s">
        <v>243</v>
      </c>
      <c r="H66" s="28" t="s">
        <v>243</v>
      </c>
      <c r="I66" s="28" t="s">
        <v>243</v>
      </c>
      <c r="J66" s="155" t="s">
        <v>342</v>
      </c>
      <c r="K66" s="155" t="s">
        <v>342</v>
      </c>
      <c r="L66" s="38" t="s">
        <v>252</v>
      </c>
      <c r="M66" s="38" t="s">
        <v>252</v>
      </c>
      <c r="N66" s="155" t="s">
        <v>342</v>
      </c>
      <c r="O66" s="155" t="s">
        <v>250</v>
      </c>
      <c r="P66" s="38" t="s">
        <v>252</v>
      </c>
      <c r="Q66" s="38" t="s">
        <v>252</v>
      </c>
      <c r="R66" s="155" t="s">
        <v>342</v>
      </c>
      <c r="S66" s="155" t="s">
        <v>342</v>
      </c>
      <c r="T66" s="28" t="s">
        <v>243</v>
      </c>
      <c r="U66" s="28" t="s">
        <v>243</v>
      </c>
      <c r="V66" s="28" t="s">
        <v>243</v>
      </c>
      <c r="W66" s="28" t="s">
        <v>243</v>
      </c>
      <c r="X66" s="155" t="s">
        <v>342</v>
      </c>
      <c r="Y66" s="155" t="s">
        <v>342</v>
      </c>
      <c r="Z66" s="38" t="s">
        <v>252</v>
      </c>
      <c r="AA66" s="38" t="s">
        <v>252</v>
      </c>
      <c r="AB66" s="155" t="s">
        <v>342</v>
      </c>
      <c r="AC66" s="155" t="s">
        <v>250</v>
      </c>
      <c r="AD66" s="38" t="s">
        <v>252</v>
      </c>
      <c r="AE66" s="38" t="s">
        <v>252</v>
      </c>
      <c r="AF66" s="155" t="s">
        <v>342</v>
      </c>
      <c r="AG66" s="155" t="s">
        <v>342</v>
      </c>
      <c r="AH66" s="28" t="s">
        <v>243</v>
      </c>
      <c r="AI66" s="28" t="s">
        <v>243</v>
      </c>
      <c r="AJ66" s="28" t="s">
        <v>243</v>
      </c>
      <c r="AK66" s="28" t="s">
        <v>243</v>
      </c>
      <c r="AL66" s="155" t="s">
        <v>342</v>
      </c>
      <c r="AM66" s="155" t="s">
        <v>342</v>
      </c>
      <c r="AN66" s="38" t="s">
        <v>252</v>
      </c>
      <c r="AO66" s="38" t="s">
        <v>252</v>
      </c>
      <c r="AP66" s="155" t="s">
        <v>342</v>
      </c>
      <c r="AQ66" s="37" t="s">
        <v>269</v>
      </c>
      <c r="AR66" s="38" t="s">
        <v>252</v>
      </c>
      <c r="AS66" s="38" t="s">
        <v>252</v>
      </c>
      <c r="AT66" s="59" t="s">
        <v>341</v>
      </c>
      <c r="AU66" s="155" t="s">
        <v>342</v>
      </c>
      <c r="AV66" s="28" t="s">
        <v>243</v>
      </c>
      <c r="AW66" s="28" t="s">
        <v>243</v>
      </c>
      <c r="AX66" s="28" t="s">
        <v>243</v>
      </c>
      <c r="AY66" s="28" t="s">
        <v>243</v>
      </c>
      <c r="AZ66" s="155" t="s">
        <v>342</v>
      </c>
      <c r="BA66" s="155" t="s">
        <v>342</v>
      </c>
      <c r="BB66" s="38" t="s">
        <v>252</v>
      </c>
      <c r="BC66" s="38" t="s">
        <v>252</v>
      </c>
      <c r="BD66" s="155" t="s">
        <v>251</v>
      </c>
      <c r="BE66" s="155" t="s">
        <v>250</v>
      </c>
      <c r="BF66" s="55" t="s">
        <v>481</v>
      </c>
      <c r="BG66" s="53" t="s">
        <v>220</v>
      </c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</row>
    <row r="67" spans="1:70" ht="20" x14ac:dyDescent="0.2">
      <c r="A67" s="29" t="s">
        <v>482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 t="s">
        <v>250</v>
      </c>
      <c r="BF67" s="55" t="s">
        <v>482</v>
      </c>
      <c r="BG67" s="53" t="s">
        <v>220</v>
      </c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</row>
    <row r="68" spans="1:70" ht="20" x14ac:dyDescent="0.2">
      <c r="A68" s="29" t="s">
        <v>483</v>
      </c>
      <c r="B68" s="155"/>
      <c r="C68" s="155"/>
      <c r="D68" s="155" t="s">
        <v>484</v>
      </c>
      <c r="E68" s="155"/>
      <c r="F68" s="155"/>
      <c r="G68" s="155"/>
      <c r="H68" s="155"/>
      <c r="I68" s="155"/>
      <c r="J68" s="155" t="s">
        <v>484</v>
      </c>
      <c r="K68" s="155"/>
      <c r="L68" s="155" t="s">
        <v>484</v>
      </c>
      <c r="M68" s="155"/>
      <c r="N68" s="155" t="s">
        <v>370</v>
      </c>
      <c r="O68" s="155"/>
      <c r="P68" s="155"/>
      <c r="Q68" s="155"/>
      <c r="R68" s="155" t="s">
        <v>484</v>
      </c>
      <c r="S68" s="155"/>
      <c r="T68" s="155"/>
      <c r="U68" s="155"/>
      <c r="V68" s="155"/>
      <c r="W68" s="155"/>
      <c r="X68" s="155" t="s">
        <v>484</v>
      </c>
      <c r="Y68" s="155"/>
      <c r="Z68" s="155" t="s">
        <v>484</v>
      </c>
      <c r="AA68" s="155"/>
      <c r="AB68" s="155" t="s">
        <v>370</v>
      </c>
      <c r="AC68" s="155"/>
      <c r="AD68" s="155"/>
      <c r="AE68" s="155"/>
      <c r="AF68" s="155" t="s">
        <v>484</v>
      </c>
      <c r="AG68" s="155"/>
      <c r="AH68" s="155"/>
      <c r="AI68" s="155"/>
      <c r="AJ68" s="155"/>
      <c r="AK68" s="155"/>
      <c r="AL68" s="155" t="s">
        <v>484</v>
      </c>
      <c r="AM68" s="155"/>
      <c r="AN68" s="155" t="s">
        <v>484</v>
      </c>
      <c r="AO68" s="155"/>
      <c r="AP68" s="155" t="s">
        <v>370</v>
      </c>
      <c r="AQ68" s="155"/>
      <c r="AR68" s="155"/>
      <c r="AS68" s="155"/>
      <c r="AT68" s="155" t="s">
        <v>484</v>
      </c>
      <c r="AU68" s="155"/>
      <c r="AV68" s="155"/>
      <c r="AW68" s="155"/>
      <c r="AX68" s="155"/>
      <c r="AY68" s="155"/>
      <c r="AZ68" s="155" t="s">
        <v>484</v>
      </c>
      <c r="BA68" s="155"/>
      <c r="BB68" s="155" t="s">
        <v>484</v>
      </c>
      <c r="BC68" s="155"/>
      <c r="BD68" s="155" t="s">
        <v>251</v>
      </c>
      <c r="BE68" s="155" t="s">
        <v>250</v>
      </c>
      <c r="BF68" s="55" t="s">
        <v>220</v>
      </c>
      <c r="BG68" s="53" t="s">
        <v>220</v>
      </c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</row>
    <row r="69" spans="1:70" ht="20" x14ac:dyDescent="0.2">
      <c r="A69" s="56" t="s">
        <v>485</v>
      </c>
      <c r="B69" s="155" t="s">
        <v>486</v>
      </c>
      <c r="C69" s="155" t="s">
        <v>486</v>
      </c>
      <c r="D69" s="38" t="s">
        <v>252</v>
      </c>
      <c r="E69" s="38" t="s">
        <v>252</v>
      </c>
      <c r="F69" s="28" t="s">
        <v>243</v>
      </c>
      <c r="G69" s="28" t="s">
        <v>243</v>
      </c>
      <c r="H69" s="28" t="s">
        <v>243</v>
      </c>
      <c r="I69" s="28" t="s">
        <v>243</v>
      </c>
      <c r="J69" s="155" t="s">
        <v>487</v>
      </c>
      <c r="K69" s="155" t="s">
        <v>487</v>
      </c>
      <c r="L69" s="155" t="s">
        <v>487</v>
      </c>
      <c r="M69" s="155" t="s">
        <v>487</v>
      </c>
      <c r="N69" s="155" t="s">
        <v>487</v>
      </c>
      <c r="O69" s="155" t="s">
        <v>487</v>
      </c>
      <c r="P69" s="155" t="s">
        <v>487</v>
      </c>
      <c r="Q69" s="155" t="s">
        <v>487</v>
      </c>
      <c r="R69" s="155" t="s">
        <v>487</v>
      </c>
      <c r="S69" s="38" t="s">
        <v>252</v>
      </c>
      <c r="T69" s="28" t="s">
        <v>243</v>
      </c>
      <c r="U69" s="28" t="s">
        <v>243</v>
      </c>
      <c r="V69" s="28" t="s">
        <v>243</v>
      </c>
      <c r="W69" s="28" t="s">
        <v>243</v>
      </c>
      <c r="X69" s="38" t="s">
        <v>252</v>
      </c>
      <c r="Y69" s="60" t="s">
        <v>310</v>
      </c>
      <c r="Z69" s="155" t="s">
        <v>488</v>
      </c>
      <c r="AA69" s="155" t="s">
        <v>488</v>
      </c>
      <c r="AB69" s="155" t="s">
        <v>488</v>
      </c>
      <c r="AC69" s="155" t="s">
        <v>250</v>
      </c>
      <c r="AD69" s="155" t="s">
        <v>489</v>
      </c>
      <c r="AE69" s="155" t="s">
        <v>490</v>
      </c>
      <c r="AF69" s="155" t="s">
        <v>486</v>
      </c>
      <c r="AG69" s="38" t="s">
        <v>252</v>
      </c>
      <c r="AH69" s="28" t="s">
        <v>243</v>
      </c>
      <c r="AI69" s="28" t="s">
        <v>243</v>
      </c>
      <c r="AJ69" s="28" t="s">
        <v>243</v>
      </c>
      <c r="AK69" s="28" t="s">
        <v>243</v>
      </c>
      <c r="AL69" s="38" t="s">
        <v>252</v>
      </c>
      <c r="AM69" s="60" t="s">
        <v>310</v>
      </c>
      <c r="AN69" s="155" t="s">
        <v>488</v>
      </c>
      <c r="AO69" s="155" t="s">
        <v>486</v>
      </c>
      <c r="AP69" s="155" t="s">
        <v>488</v>
      </c>
      <c r="AQ69" s="37" t="s">
        <v>269</v>
      </c>
      <c r="AR69" s="155" t="s">
        <v>489</v>
      </c>
      <c r="AS69" s="155" t="s">
        <v>490</v>
      </c>
      <c r="AT69" s="155" t="s">
        <v>486</v>
      </c>
      <c r="AU69" s="155" t="s">
        <v>486</v>
      </c>
      <c r="AV69" s="28" t="s">
        <v>243</v>
      </c>
      <c r="AW69" s="28" t="s">
        <v>243</v>
      </c>
      <c r="AX69" s="28" t="s">
        <v>243</v>
      </c>
      <c r="AY69" s="28" t="s">
        <v>243</v>
      </c>
      <c r="AZ69" s="155" t="s">
        <v>486</v>
      </c>
      <c r="BA69" s="60" t="s">
        <v>310</v>
      </c>
      <c r="BB69" s="155" t="s">
        <v>488</v>
      </c>
      <c r="BC69" s="155" t="s">
        <v>488</v>
      </c>
      <c r="BD69" s="155" t="s">
        <v>251</v>
      </c>
      <c r="BE69" s="155"/>
      <c r="BF69" s="55" t="s">
        <v>482</v>
      </c>
      <c r="BG69" s="53" t="s">
        <v>220</v>
      </c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</row>
    <row r="70" spans="1:70" ht="20" x14ac:dyDescent="0.2">
      <c r="A70" s="12" t="s">
        <v>220</v>
      </c>
      <c r="B70" s="18" t="s">
        <v>220</v>
      </c>
      <c r="C70" s="18" t="s">
        <v>220</v>
      </c>
      <c r="D70" s="18" t="s">
        <v>220</v>
      </c>
      <c r="E70" s="18" t="s">
        <v>220</v>
      </c>
      <c r="F70" s="18" t="s">
        <v>220</v>
      </c>
      <c r="G70" s="18" t="s">
        <v>220</v>
      </c>
      <c r="H70" s="18" t="s">
        <v>220</v>
      </c>
      <c r="I70" s="18" t="s">
        <v>220</v>
      </c>
      <c r="J70" s="18" t="s">
        <v>220</v>
      </c>
      <c r="K70" s="18" t="s">
        <v>220</v>
      </c>
      <c r="L70" s="18" t="s">
        <v>220</v>
      </c>
      <c r="M70" s="18" t="s">
        <v>220</v>
      </c>
      <c r="N70" s="18" t="s">
        <v>220</v>
      </c>
      <c r="O70" s="18" t="s">
        <v>220</v>
      </c>
      <c r="P70" s="18" t="s">
        <v>220</v>
      </c>
      <c r="Q70" s="18" t="s">
        <v>220</v>
      </c>
      <c r="R70" s="18" t="s">
        <v>220</v>
      </c>
      <c r="S70" s="18" t="s">
        <v>220</v>
      </c>
      <c r="T70" s="18" t="s">
        <v>220</v>
      </c>
      <c r="U70" s="18" t="s">
        <v>220</v>
      </c>
      <c r="V70" s="18" t="s">
        <v>220</v>
      </c>
      <c r="W70" s="18" t="s">
        <v>220</v>
      </c>
      <c r="X70" s="18" t="s">
        <v>220</v>
      </c>
      <c r="Y70" s="18" t="s">
        <v>220</v>
      </c>
      <c r="Z70" s="18" t="s">
        <v>220</v>
      </c>
      <c r="AA70" s="18" t="s">
        <v>220</v>
      </c>
      <c r="AB70" s="18" t="s">
        <v>220</v>
      </c>
      <c r="AC70" s="18" t="s">
        <v>220</v>
      </c>
      <c r="AD70" s="18" t="s">
        <v>220</v>
      </c>
      <c r="AE70" s="18" t="s">
        <v>220</v>
      </c>
      <c r="AF70" s="18" t="s">
        <v>220</v>
      </c>
      <c r="AG70" s="18" t="s">
        <v>220</v>
      </c>
      <c r="AH70" s="18" t="s">
        <v>220</v>
      </c>
      <c r="AI70" s="18" t="s">
        <v>220</v>
      </c>
      <c r="AJ70" s="18" t="s">
        <v>220</v>
      </c>
      <c r="AK70" s="18" t="s">
        <v>220</v>
      </c>
      <c r="AL70" s="18" t="s">
        <v>220</v>
      </c>
      <c r="AM70" s="18" t="s">
        <v>220</v>
      </c>
      <c r="AN70" s="18" t="s">
        <v>220</v>
      </c>
      <c r="AO70" s="18" t="s">
        <v>220</v>
      </c>
      <c r="AP70" s="18" t="s">
        <v>220</v>
      </c>
      <c r="AQ70" s="18" t="s">
        <v>220</v>
      </c>
      <c r="AR70" s="18" t="s">
        <v>220</v>
      </c>
      <c r="AS70" s="18" t="s">
        <v>220</v>
      </c>
      <c r="AT70" s="18" t="s">
        <v>220</v>
      </c>
      <c r="AU70" s="18" t="s">
        <v>220</v>
      </c>
      <c r="AV70" s="18" t="s">
        <v>220</v>
      </c>
      <c r="AW70" s="18" t="s">
        <v>220</v>
      </c>
      <c r="AX70" s="18" t="s">
        <v>220</v>
      </c>
      <c r="AY70" s="18" t="s">
        <v>220</v>
      </c>
      <c r="AZ70" s="18" t="s">
        <v>220</v>
      </c>
      <c r="BA70" s="18" t="s">
        <v>220</v>
      </c>
      <c r="BB70" s="18" t="s">
        <v>220</v>
      </c>
      <c r="BC70" s="18" t="s">
        <v>220</v>
      </c>
      <c r="BD70" s="18" t="s">
        <v>220</v>
      </c>
      <c r="BE70" s="18" t="s">
        <v>220</v>
      </c>
      <c r="BF70" s="76" t="s">
        <v>485</v>
      </c>
      <c r="BG70" s="12" t="s">
        <v>220</v>
      </c>
      <c r="BH70" s="12" t="s">
        <v>220</v>
      </c>
      <c r="BI70" s="12" t="s">
        <v>220</v>
      </c>
      <c r="BJ70" s="12" t="s">
        <v>220</v>
      </c>
      <c r="BK70" s="12" t="s">
        <v>220</v>
      </c>
      <c r="BL70" s="12" t="s">
        <v>220</v>
      </c>
      <c r="BM70" s="12" t="s">
        <v>220</v>
      </c>
      <c r="BN70" s="12" t="s">
        <v>220</v>
      </c>
      <c r="BO70" s="12" t="s">
        <v>220</v>
      </c>
      <c r="BP70" s="12" t="s">
        <v>220</v>
      </c>
      <c r="BQ70" s="12" t="s">
        <v>220</v>
      </c>
      <c r="BR70" s="12" t="s">
        <v>220</v>
      </c>
    </row>
    <row r="71" spans="1:70" ht="20" x14ac:dyDescent="0.2">
      <c r="A71" s="12" t="s">
        <v>220</v>
      </c>
      <c r="B71" s="18" t="s">
        <v>220</v>
      </c>
      <c r="C71" s="18" t="s">
        <v>220</v>
      </c>
      <c r="D71" s="18" t="s">
        <v>220</v>
      </c>
      <c r="E71" s="18" t="s">
        <v>220</v>
      </c>
      <c r="F71" s="18" t="s">
        <v>220</v>
      </c>
      <c r="G71" s="18" t="s">
        <v>220</v>
      </c>
      <c r="H71" s="18" t="s">
        <v>220</v>
      </c>
      <c r="I71" s="18" t="s">
        <v>220</v>
      </c>
      <c r="J71" s="18" t="s">
        <v>220</v>
      </c>
      <c r="K71" s="18" t="s">
        <v>220</v>
      </c>
      <c r="L71" s="18" t="s">
        <v>220</v>
      </c>
      <c r="M71" s="18" t="s">
        <v>220</v>
      </c>
      <c r="N71" s="18" t="s">
        <v>220</v>
      </c>
      <c r="O71" s="18" t="s">
        <v>220</v>
      </c>
      <c r="P71" s="18" t="s">
        <v>220</v>
      </c>
      <c r="Q71" s="18" t="s">
        <v>220</v>
      </c>
      <c r="R71" s="18" t="s">
        <v>220</v>
      </c>
      <c r="S71" s="18" t="s">
        <v>220</v>
      </c>
      <c r="T71" s="18" t="s">
        <v>220</v>
      </c>
      <c r="U71" s="18" t="s">
        <v>220</v>
      </c>
      <c r="V71" s="18" t="s">
        <v>220</v>
      </c>
      <c r="W71" s="18" t="s">
        <v>220</v>
      </c>
      <c r="X71" s="18" t="s">
        <v>220</v>
      </c>
      <c r="Y71" s="18" t="s">
        <v>220</v>
      </c>
      <c r="Z71" s="18" t="s">
        <v>220</v>
      </c>
      <c r="AA71" s="18" t="s">
        <v>220</v>
      </c>
      <c r="AB71" s="18" t="s">
        <v>220</v>
      </c>
      <c r="AC71" s="18" t="s">
        <v>220</v>
      </c>
      <c r="AD71" s="18" t="s">
        <v>220</v>
      </c>
      <c r="AE71" s="18" t="s">
        <v>220</v>
      </c>
      <c r="AF71" s="18" t="s">
        <v>220</v>
      </c>
      <c r="AG71" s="18" t="s">
        <v>220</v>
      </c>
      <c r="AH71" s="18" t="s">
        <v>220</v>
      </c>
      <c r="AI71" s="18" t="s">
        <v>220</v>
      </c>
      <c r="AJ71" s="18" t="s">
        <v>220</v>
      </c>
      <c r="AK71" s="18" t="s">
        <v>220</v>
      </c>
      <c r="AL71" s="18" t="s">
        <v>220</v>
      </c>
      <c r="AM71" s="18" t="s">
        <v>220</v>
      </c>
      <c r="AN71" s="18" t="s">
        <v>220</v>
      </c>
      <c r="AO71" s="18" t="s">
        <v>220</v>
      </c>
      <c r="AP71" s="18" t="s">
        <v>220</v>
      </c>
      <c r="AQ71" s="18" t="s">
        <v>220</v>
      </c>
      <c r="AR71" s="18" t="s">
        <v>220</v>
      </c>
      <c r="AS71" s="18" t="s">
        <v>220</v>
      </c>
      <c r="AT71" s="18" t="s">
        <v>220</v>
      </c>
      <c r="AU71" s="18" t="s">
        <v>220</v>
      </c>
      <c r="AV71" s="18" t="s">
        <v>220</v>
      </c>
      <c r="AW71" s="18" t="s">
        <v>220</v>
      </c>
      <c r="AX71" s="18" t="s">
        <v>220</v>
      </c>
      <c r="AY71" s="18" t="s">
        <v>220</v>
      </c>
      <c r="AZ71" s="18" t="s">
        <v>220</v>
      </c>
      <c r="BA71" s="18" t="s">
        <v>220</v>
      </c>
      <c r="BB71" s="18" t="s">
        <v>220</v>
      </c>
      <c r="BC71" s="18" t="s">
        <v>220</v>
      </c>
      <c r="BD71" s="18" t="s">
        <v>220</v>
      </c>
      <c r="BE71" s="18" t="s">
        <v>220</v>
      </c>
      <c r="BF71" s="12" t="s">
        <v>220</v>
      </c>
      <c r="BG71" s="12" t="s">
        <v>220</v>
      </c>
      <c r="BH71" s="12" t="s">
        <v>220</v>
      </c>
      <c r="BI71" s="12" t="s">
        <v>220</v>
      </c>
      <c r="BJ71" s="12" t="s">
        <v>220</v>
      </c>
      <c r="BK71" s="12" t="s">
        <v>220</v>
      </c>
      <c r="BL71" s="12" t="s">
        <v>220</v>
      </c>
      <c r="BM71" s="12" t="s">
        <v>220</v>
      </c>
      <c r="BN71" s="12" t="s">
        <v>220</v>
      </c>
      <c r="BO71" s="12" t="s">
        <v>220</v>
      </c>
      <c r="BP71" s="12" t="s">
        <v>220</v>
      </c>
      <c r="BQ71" s="12" t="s">
        <v>220</v>
      </c>
      <c r="BR71" s="12" t="s">
        <v>220</v>
      </c>
    </row>
    <row r="72" spans="1:70" ht="20" x14ac:dyDescent="0.2">
      <c r="A72" s="75" t="s">
        <v>491</v>
      </c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5" t="s">
        <v>250</v>
      </c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</row>
    <row r="73" spans="1:70" ht="20" x14ac:dyDescent="0.2">
      <c r="A73" s="179" t="s">
        <v>492</v>
      </c>
      <c r="B73" s="63" t="s">
        <v>45</v>
      </c>
      <c r="C73" s="63" t="s">
        <v>45</v>
      </c>
      <c r="D73" s="38" t="s">
        <v>252</v>
      </c>
      <c r="E73" s="63" t="s">
        <v>45</v>
      </c>
      <c r="F73" s="28" t="s">
        <v>243</v>
      </c>
      <c r="G73" s="28" t="s">
        <v>243</v>
      </c>
      <c r="H73" s="28" t="s">
        <v>243</v>
      </c>
      <c r="I73" s="28" t="s">
        <v>243</v>
      </c>
      <c r="J73" s="63" t="s">
        <v>45</v>
      </c>
      <c r="K73" s="63" t="s">
        <v>45</v>
      </c>
      <c r="L73" s="63" t="s">
        <v>45</v>
      </c>
      <c r="M73" s="63" t="s">
        <v>45</v>
      </c>
      <c r="N73" s="63" t="s">
        <v>45</v>
      </c>
      <c r="O73" s="63" t="s">
        <v>45</v>
      </c>
      <c r="P73" s="63" t="s">
        <v>45</v>
      </c>
      <c r="Q73" s="63" t="s">
        <v>45</v>
      </c>
      <c r="R73" s="38" t="s">
        <v>252</v>
      </c>
      <c r="S73" s="63" t="s">
        <v>45</v>
      </c>
      <c r="T73" s="28" t="s">
        <v>243</v>
      </c>
      <c r="U73" s="28" t="s">
        <v>243</v>
      </c>
      <c r="V73" s="28" t="s">
        <v>243</v>
      </c>
      <c r="W73" s="28" t="s">
        <v>243</v>
      </c>
      <c r="X73" s="63" t="s">
        <v>45</v>
      </c>
      <c r="Y73" s="63" t="s">
        <v>45</v>
      </c>
      <c r="Z73" s="63" t="s">
        <v>45</v>
      </c>
      <c r="AA73" s="63" t="s">
        <v>45</v>
      </c>
      <c r="AB73" s="63" t="s">
        <v>45</v>
      </c>
      <c r="AC73" s="63" t="s">
        <v>45</v>
      </c>
      <c r="AD73" s="38" t="s">
        <v>252</v>
      </c>
      <c r="AE73" s="63" t="s">
        <v>282</v>
      </c>
      <c r="AF73" s="155" t="s">
        <v>258</v>
      </c>
      <c r="AG73" s="38" t="s">
        <v>252</v>
      </c>
      <c r="AH73" s="155" t="s">
        <v>493</v>
      </c>
      <c r="AI73" s="155" t="s">
        <v>493</v>
      </c>
      <c r="AJ73" s="155" t="s">
        <v>493</v>
      </c>
      <c r="AK73" s="155" t="s">
        <v>493</v>
      </c>
      <c r="AL73" s="63" t="s">
        <v>282</v>
      </c>
      <c r="AM73" s="63" t="s">
        <v>282</v>
      </c>
      <c r="AN73" s="63" t="s">
        <v>282</v>
      </c>
      <c r="AO73" s="63" t="s">
        <v>282</v>
      </c>
      <c r="AP73" s="63" t="s">
        <v>282</v>
      </c>
      <c r="AQ73" s="63" t="s">
        <v>282</v>
      </c>
      <c r="AR73" s="38" t="s">
        <v>252</v>
      </c>
      <c r="AS73" s="38" t="s">
        <v>252</v>
      </c>
      <c r="AT73" s="59" t="s">
        <v>341</v>
      </c>
      <c r="AU73" s="38" t="s">
        <v>252</v>
      </c>
      <c r="AV73" s="155" t="s">
        <v>493</v>
      </c>
      <c r="AW73" s="155" t="s">
        <v>493</v>
      </c>
      <c r="AX73" s="155" t="s">
        <v>493</v>
      </c>
      <c r="AY73" s="155" t="s">
        <v>493</v>
      </c>
      <c r="AZ73" s="63" t="s">
        <v>282</v>
      </c>
      <c r="BA73" s="63" t="s">
        <v>282</v>
      </c>
      <c r="BB73" s="63" t="s">
        <v>282</v>
      </c>
      <c r="BC73" s="63" t="s">
        <v>282</v>
      </c>
      <c r="BD73" s="155" t="s">
        <v>494</v>
      </c>
      <c r="BE73" s="63" t="s">
        <v>45</v>
      </c>
      <c r="BF73" s="8"/>
      <c r="BG73" s="53" t="s">
        <v>220</v>
      </c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</row>
    <row r="74" spans="1:70" ht="20" x14ac:dyDescent="0.2">
      <c r="A74" s="56" t="s">
        <v>495</v>
      </c>
      <c r="B74" s="38" t="s">
        <v>252</v>
      </c>
      <c r="C74" s="38" t="s">
        <v>252</v>
      </c>
      <c r="D74" s="155" t="s">
        <v>258</v>
      </c>
      <c r="E74" s="38" t="s">
        <v>252</v>
      </c>
      <c r="F74" s="155" t="s">
        <v>496</v>
      </c>
      <c r="G74" s="155" t="s">
        <v>496</v>
      </c>
      <c r="H74" s="155" t="s">
        <v>496</v>
      </c>
      <c r="I74" s="155" t="s">
        <v>496</v>
      </c>
      <c r="J74" s="63" t="s">
        <v>282</v>
      </c>
      <c r="K74" s="63" t="s">
        <v>282</v>
      </c>
      <c r="L74" s="63" t="s">
        <v>282</v>
      </c>
      <c r="M74" s="63" t="s">
        <v>282</v>
      </c>
      <c r="N74" s="63" t="s">
        <v>282</v>
      </c>
      <c r="O74" s="63" t="s">
        <v>282</v>
      </c>
      <c r="P74" s="38" t="s">
        <v>252</v>
      </c>
      <c r="Q74" s="38" t="s">
        <v>252</v>
      </c>
      <c r="R74" s="155" t="s">
        <v>258</v>
      </c>
      <c r="S74" s="38" t="s">
        <v>252</v>
      </c>
      <c r="T74" s="155" t="s">
        <v>496</v>
      </c>
      <c r="U74" s="155" t="s">
        <v>496</v>
      </c>
      <c r="V74" s="155" t="s">
        <v>496</v>
      </c>
      <c r="W74" s="155" t="s">
        <v>496</v>
      </c>
      <c r="X74" s="63" t="s">
        <v>282</v>
      </c>
      <c r="Y74" s="63" t="s">
        <v>282</v>
      </c>
      <c r="Z74" s="63" t="s">
        <v>282</v>
      </c>
      <c r="AA74" s="63" t="s">
        <v>282</v>
      </c>
      <c r="AB74" s="63" t="s">
        <v>282</v>
      </c>
      <c r="AC74" s="63" t="s">
        <v>282</v>
      </c>
      <c r="AD74" s="63" t="s">
        <v>45</v>
      </c>
      <c r="AE74" s="63" t="s">
        <v>45</v>
      </c>
      <c r="AF74" s="38" t="s">
        <v>252</v>
      </c>
      <c r="AG74" s="63" t="s">
        <v>45</v>
      </c>
      <c r="AH74" s="155" t="s">
        <v>496</v>
      </c>
      <c r="AI74" s="155" t="s">
        <v>496</v>
      </c>
      <c r="AJ74" s="155" t="s">
        <v>496</v>
      </c>
      <c r="AK74" s="155" t="s">
        <v>496</v>
      </c>
      <c r="AL74" s="63" t="s">
        <v>45</v>
      </c>
      <c r="AM74" s="63" t="s">
        <v>45</v>
      </c>
      <c r="AN74" s="63" t="s">
        <v>45</v>
      </c>
      <c r="AO74" s="63" t="s">
        <v>45</v>
      </c>
      <c r="AP74" s="63" t="s">
        <v>45</v>
      </c>
      <c r="AQ74" s="63" t="s">
        <v>45</v>
      </c>
      <c r="AR74" s="63" t="s">
        <v>45</v>
      </c>
      <c r="AS74" s="63" t="s">
        <v>45</v>
      </c>
      <c r="AT74" s="38" t="s">
        <v>252</v>
      </c>
      <c r="AU74" s="63" t="s">
        <v>45</v>
      </c>
      <c r="AV74" s="28" t="s">
        <v>243</v>
      </c>
      <c r="AW74" s="28" t="s">
        <v>243</v>
      </c>
      <c r="AX74" s="28" t="s">
        <v>243</v>
      </c>
      <c r="AY74" s="28" t="s">
        <v>243</v>
      </c>
      <c r="AZ74" s="63" t="s">
        <v>45</v>
      </c>
      <c r="BA74" s="63" t="s">
        <v>45</v>
      </c>
      <c r="BB74" s="63" t="s">
        <v>45</v>
      </c>
      <c r="BC74" s="63" t="s">
        <v>45</v>
      </c>
      <c r="BD74" s="63" t="s">
        <v>45</v>
      </c>
      <c r="BE74" s="155" t="s">
        <v>250</v>
      </c>
      <c r="BF74" s="154" t="s">
        <v>497</v>
      </c>
      <c r="BG74" s="53" t="s">
        <v>220</v>
      </c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</row>
    <row r="75" spans="1:70" ht="20" x14ac:dyDescent="0.2">
      <c r="A75" s="56" t="s">
        <v>498</v>
      </c>
      <c r="B75" s="38" t="s">
        <v>252</v>
      </c>
      <c r="C75" s="155" t="s">
        <v>268</v>
      </c>
      <c r="D75" s="155" t="s">
        <v>81</v>
      </c>
      <c r="E75" s="38" t="s">
        <v>252</v>
      </c>
      <c r="F75" s="28" t="s">
        <v>243</v>
      </c>
      <c r="G75" s="28" t="s">
        <v>243</v>
      </c>
      <c r="H75" s="28" t="s">
        <v>243</v>
      </c>
      <c r="I75" s="28" t="s">
        <v>243</v>
      </c>
      <c r="J75" s="155" t="s">
        <v>81</v>
      </c>
      <c r="K75" s="60" t="s">
        <v>499</v>
      </c>
      <c r="L75" s="38" t="s">
        <v>252</v>
      </c>
      <c r="M75" s="38" t="s">
        <v>252</v>
      </c>
      <c r="N75" s="155" t="s">
        <v>277</v>
      </c>
      <c r="O75" s="155" t="s">
        <v>250</v>
      </c>
      <c r="P75" s="155" t="s">
        <v>274</v>
      </c>
      <c r="Q75" s="155" t="s">
        <v>268</v>
      </c>
      <c r="R75" s="155" t="s">
        <v>81</v>
      </c>
      <c r="S75" s="38" t="s">
        <v>252</v>
      </c>
      <c r="T75" s="28" t="s">
        <v>243</v>
      </c>
      <c r="U75" s="28" t="s">
        <v>243</v>
      </c>
      <c r="V75" s="28" t="s">
        <v>243</v>
      </c>
      <c r="W75" s="28" t="s">
        <v>243</v>
      </c>
      <c r="X75" s="155" t="s">
        <v>81</v>
      </c>
      <c r="Y75" s="38" t="s">
        <v>252</v>
      </c>
      <c r="Z75" s="155" t="s">
        <v>327</v>
      </c>
      <c r="AA75" s="38" t="s">
        <v>252</v>
      </c>
      <c r="AB75" s="60" t="s">
        <v>499</v>
      </c>
      <c r="AC75" s="155" t="s">
        <v>250</v>
      </c>
      <c r="AD75" s="155" t="s">
        <v>276</v>
      </c>
      <c r="AE75" s="155" t="s">
        <v>268</v>
      </c>
      <c r="AF75" s="155" t="s">
        <v>81</v>
      </c>
      <c r="AG75" s="38" t="s">
        <v>252</v>
      </c>
      <c r="AH75" s="28" t="s">
        <v>243</v>
      </c>
      <c r="AI75" s="28" t="s">
        <v>243</v>
      </c>
      <c r="AJ75" s="28" t="s">
        <v>243</v>
      </c>
      <c r="AK75" s="28" t="s">
        <v>243</v>
      </c>
      <c r="AL75" s="155" t="s">
        <v>81</v>
      </c>
      <c r="AM75" s="38" t="s">
        <v>252</v>
      </c>
      <c r="AN75" s="155" t="s">
        <v>274</v>
      </c>
      <c r="AO75" s="38" t="s">
        <v>252</v>
      </c>
      <c r="AP75" s="60" t="s">
        <v>499</v>
      </c>
      <c r="AQ75" s="37" t="s">
        <v>269</v>
      </c>
      <c r="AR75" s="155" t="s">
        <v>500</v>
      </c>
      <c r="AS75" s="155" t="s">
        <v>268</v>
      </c>
      <c r="AT75" s="155" t="s">
        <v>81</v>
      </c>
      <c r="AU75" s="59" t="s">
        <v>341</v>
      </c>
      <c r="AV75" s="28" t="s">
        <v>243</v>
      </c>
      <c r="AW75" s="28" t="s">
        <v>243</v>
      </c>
      <c r="AX75" s="28" t="s">
        <v>243</v>
      </c>
      <c r="AY75" s="28" t="s">
        <v>243</v>
      </c>
      <c r="AZ75" s="38" t="s">
        <v>252</v>
      </c>
      <c r="BA75" s="155" t="s">
        <v>81</v>
      </c>
      <c r="BB75" s="155" t="s">
        <v>81</v>
      </c>
      <c r="BC75" s="38" t="s">
        <v>252</v>
      </c>
      <c r="BD75" s="155" t="s">
        <v>494</v>
      </c>
      <c r="BE75" s="155" t="s">
        <v>250</v>
      </c>
      <c r="BF75" s="55" t="s">
        <v>501</v>
      </c>
      <c r="BG75" s="53" t="s">
        <v>220</v>
      </c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</row>
    <row r="76" spans="1:70" ht="20" x14ac:dyDescent="0.2">
      <c r="A76" s="56" t="s">
        <v>502</v>
      </c>
      <c r="B76" s="38" t="s">
        <v>252</v>
      </c>
      <c r="C76" s="155" t="s">
        <v>268</v>
      </c>
      <c r="D76" s="155" t="s">
        <v>81</v>
      </c>
      <c r="E76" s="38" t="s">
        <v>252</v>
      </c>
      <c r="F76" s="28" t="s">
        <v>243</v>
      </c>
      <c r="G76" s="28" t="s">
        <v>243</v>
      </c>
      <c r="H76" s="28" t="s">
        <v>243</v>
      </c>
      <c r="I76" s="28" t="s">
        <v>243</v>
      </c>
      <c r="J76" s="155" t="s">
        <v>81</v>
      </c>
      <c r="K76" s="155" t="s">
        <v>274</v>
      </c>
      <c r="L76" s="38" t="s">
        <v>252</v>
      </c>
      <c r="M76" s="38" t="s">
        <v>252</v>
      </c>
      <c r="N76" s="60" t="s">
        <v>499</v>
      </c>
      <c r="O76" s="155" t="s">
        <v>250</v>
      </c>
      <c r="P76" s="155" t="s">
        <v>274</v>
      </c>
      <c r="Q76" s="155" t="s">
        <v>268</v>
      </c>
      <c r="R76" s="155" t="s">
        <v>81</v>
      </c>
      <c r="S76" s="38" t="s">
        <v>252</v>
      </c>
      <c r="T76" s="28" t="s">
        <v>243</v>
      </c>
      <c r="U76" s="28" t="s">
        <v>243</v>
      </c>
      <c r="V76" s="28" t="s">
        <v>243</v>
      </c>
      <c r="W76" s="28" t="s">
        <v>243</v>
      </c>
      <c r="X76" s="155" t="s">
        <v>81</v>
      </c>
      <c r="Y76" s="38" t="s">
        <v>252</v>
      </c>
      <c r="Z76" s="155" t="s">
        <v>327</v>
      </c>
      <c r="AA76" s="38" t="s">
        <v>252</v>
      </c>
      <c r="AB76" s="155" t="s">
        <v>277</v>
      </c>
      <c r="AC76" s="155" t="s">
        <v>250</v>
      </c>
      <c r="AD76" s="155" t="s">
        <v>276</v>
      </c>
      <c r="AE76" s="155" t="s">
        <v>268</v>
      </c>
      <c r="AF76" s="155" t="s">
        <v>81</v>
      </c>
      <c r="AG76" s="38" t="s">
        <v>252</v>
      </c>
      <c r="AH76" s="28" t="s">
        <v>243</v>
      </c>
      <c r="AI76" s="28" t="s">
        <v>243</v>
      </c>
      <c r="AJ76" s="28" t="s">
        <v>243</v>
      </c>
      <c r="AK76" s="28" t="s">
        <v>243</v>
      </c>
      <c r="AL76" s="155" t="s">
        <v>81</v>
      </c>
      <c r="AM76" s="38" t="s">
        <v>252</v>
      </c>
      <c r="AN76" s="155" t="s">
        <v>274</v>
      </c>
      <c r="AO76" s="38" t="s">
        <v>252</v>
      </c>
      <c r="AP76" s="155" t="s">
        <v>276</v>
      </c>
      <c r="AQ76" s="37" t="s">
        <v>269</v>
      </c>
      <c r="AR76" s="155" t="s">
        <v>500</v>
      </c>
      <c r="AS76" s="155" t="s">
        <v>268</v>
      </c>
      <c r="AT76" s="155" t="s">
        <v>81</v>
      </c>
      <c r="AU76" s="59" t="s">
        <v>341</v>
      </c>
      <c r="AV76" s="28" t="s">
        <v>243</v>
      </c>
      <c r="AW76" s="28" t="s">
        <v>243</v>
      </c>
      <c r="AX76" s="28" t="s">
        <v>243</v>
      </c>
      <c r="AY76" s="28" t="s">
        <v>243</v>
      </c>
      <c r="AZ76" s="38" t="s">
        <v>252</v>
      </c>
      <c r="BA76" s="155" t="s">
        <v>81</v>
      </c>
      <c r="BB76" s="155" t="s">
        <v>81</v>
      </c>
      <c r="BC76" s="38" t="s">
        <v>252</v>
      </c>
      <c r="BD76" s="155" t="s">
        <v>494</v>
      </c>
      <c r="BE76" s="155" t="s">
        <v>250</v>
      </c>
      <c r="BF76" s="55" t="s">
        <v>498</v>
      </c>
      <c r="BG76" s="53" t="s">
        <v>220</v>
      </c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</row>
    <row r="77" spans="1:70" ht="20" x14ac:dyDescent="0.2">
      <c r="A77" s="56" t="s">
        <v>503</v>
      </c>
      <c r="B77" s="38" t="s">
        <v>252</v>
      </c>
      <c r="C77" s="38" t="s">
        <v>252</v>
      </c>
      <c r="D77" s="155" t="s">
        <v>340</v>
      </c>
      <c r="E77" s="155" t="s">
        <v>340</v>
      </c>
      <c r="F77" s="28" t="s">
        <v>243</v>
      </c>
      <c r="G77" s="28" t="s">
        <v>243</v>
      </c>
      <c r="H77" s="28" t="s">
        <v>243</v>
      </c>
      <c r="I77" s="28" t="s">
        <v>243</v>
      </c>
      <c r="J77" s="38" t="s">
        <v>252</v>
      </c>
      <c r="K77" s="38" t="s">
        <v>252</v>
      </c>
      <c r="L77" s="155" t="s">
        <v>340</v>
      </c>
      <c r="M77" s="155" t="s">
        <v>340</v>
      </c>
      <c r="N77" s="155" t="s">
        <v>340</v>
      </c>
      <c r="O77" s="155" t="s">
        <v>340</v>
      </c>
      <c r="P77" s="38" t="s">
        <v>252</v>
      </c>
      <c r="Q77" s="38" t="s">
        <v>252</v>
      </c>
      <c r="R77" s="155" t="s">
        <v>340</v>
      </c>
      <c r="S77" s="155" t="s">
        <v>340</v>
      </c>
      <c r="T77" s="28" t="s">
        <v>243</v>
      </c>
      <c r="U77" s="28" t="s">
        <v>243</v>
      </c>
      <c r="V77" s="28" t="s">
        <v>243</v>
      </c>
      <c r="W77" s="28" t="s">
        <v>243</v>
      </c>
      <c r="X77" s="38" t="s">
        <v>252</v>
      </c>
      <c r="Y77" s="38" t="s">
        <v>252</v>
      </c>
      <c r="Z77" s="155" t="s">
        <v>340</v>
      </c>
      <c r="AA77" s="155" t="s">
        <v>340</v>
      </c>
      <c r="AB77" s="155" t="s">
        <v>340</v>
      </c>
      <c r="AC77" s="155" t="s">
        <v>340</v>
      </c>
      <c r="AD77" s="38" t="s">
        <v>252</v>
      </c>
      <c r="AE77" s="38" t="s">
        <v>252</v>
      </c>
      <c r="AF77" s="155" t="s">
        <v>340</v>
      </c>
      <c r="AG77" s="155" t="s">
        <v>340</v>
      </c>
      <c r="AH77" s="28" t="s">
        <v>243</v>
      </c>
      <c r="AI77" s="28" t="s">
        <v>243</v>
      </c>
      <c r="AJ77" s="28" t="s">
        <v>243</v>
      </c>
      <c r="AK77" s="28" t="s">
        <v>243</v>
      </c>
      <c r="AL77" s="38" t="s">
        <v>252</v>
      </c>
      <c r="AM77" s="38" t="s">
        <v>252</v>
      </c>
      <c r="AN77" s="155" t="s">
        <v>340</v>
      </c>
      <c r="AO77" s="155" t="s">
        <v>340</v>
      </c>
      <c r="AP77" s="155" t="s">
        <v>340</v>
      </c>
      <c r="AQ77" s="155" t="s">
        <v>340</v>
      </c>
      <c r="AR77" s="155" t="s">
        <v>340</v>
      </c>
      <c r="AS77" s="155" t="s">
        <v>340</v>
      </c>
      <c r="AT77" s="155" t="s">
        <v>340</v>
      </c>
      <c r="AU77" s="59" t="s">
        <v>341</v>
      </c>
      <c r="AV77" s="28" t="s">
        <v>243</v>
      </c>
      <c r="AW77" s="28" t="s">
        <v>243</v>
      </c>
      <c r="AX77" s="28" t="s">
        <v>243</v>
      </c>
      <c r="AY77" s="28" t="s">
        <v>243</v>
      </c>
      <c r="AZ77" s="38" t="s">
        <v>252</v>
      </c>
      <c r="BA77" s="38" t="s">
        <v>252</v>
      </c>
      <c r="BB77" s="155" t="s">
        <v>340</v>
      </c>
      <c r="BC77" s="155" t="s">
        <v>340</v>
      </c>
      <c r="BD77" s="155" t="s">
        <v>494</v>
      </c>
      <c r="BE77" s="155" t="s">
        <v>250</v>
      </c>
      <c r="BF77" s="55" t="s">
        <v>502</v>
      </c>
      <c r="BG77" s="53" t="s">
        <v>220</v>
      </c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</row>
    <row r="78" spans="1:70" ht="20" x14ac:dyDescent="0.2">
      <c r="A78" s="56" t="s">
        <v>504</v>
      </c>
      <c r="B78" s="155" t="s">
        <v>505</v>
      </c>
      <c r="C78" s="155" t="s">
        <v>505</v>
      </c>
      <c r="D78" s="155" t="s">
        <v>505</v>
      </c>
      <c r="E78" s="155" t="s">
        <v>505</v>
      </c>
      <c r="F78" s="155" t="s">
        <v>340</v>
      </c>
      <c r="G78" s="155" t="s">
        <v>340</v>
      </c>
      <c r="H78" s="155" t="s">
        <v>340</v>
      </c>
      <c r="I78" s="155" t="s">
        <v>340</v>
      </c>
      <c r="J78" s="63" t="s">
        <v>282</v>
      </c>
      <c r="K78" s="63" t="s">
        <v>282</v>
      </c>
      <c r="L78" s="63" t="s">
        <v>282</v>
      </c>
      <c r="M78" s="63" t="s">
        <v>282</v>
      </c>
      <c r="N78" s="155" t="s">
        <v>506</v>
      </c>
      <c r="O78" s="155" t="s">
        <v>250</v>
      </c>
      <c r="P78" s="155" t="s">
        <v>505</v>
      </c>
      <c r="Q78" s="155" t="s">
        <v>505</v>
      </c>
      <c r="R78" s="155" t="s">
        <v>505</v>
      </c>
      <c r="S78" s="155" t="s">
        <v>505</v>
      </c>
      <c r="T78" s="155" t="s">
        <v>340</v>
      </c>
      <c r="U78" s="155" t="s">
        <v>340</v>
      </c>
      <c r="V78" s="155" t="s">
        <v>340</v>
      </c>
      <c r="W78" s="155" t="s">
        <v>340</v>
      </c>
      <c r="X78" s="63" t="s">
        <v>282</v>
      </c>
      <c r="Y78" s="63" t="s">
        <v>282</v>
      </c>
      <c r="Z78" s="63" t="s">
        <v>282</v>
      </c>
      <c r="AA78" s="63" t="s">
        <v>282</v>
      </c>
      <c r="AB78" s="38" t="s">
        <v>312</v>
      </c>
      <c r="AC78" s="155" t="s">
        <v>250</v>
      </c>
      <c r="AD78" s="155" t="s">
        <v>505</v>
      </c>
      <c r="AE78" s="155" t="s">
        <v>505</v>
      </c>
      <c r="AF78" s="155" t="s">
        <v>505</v>
      </c>
      <c r="AG78" s="155" t="s">
        <v>505</v>
      </c>
      <c r="AH78" s="155" t="s">
        <v>340</v>
      </c>
      <c r="AI78" s="155" t="s">
        <v>340</v>
      </c>
      <c r="AJ78" s="155" t="s">
        <v>340</v>
      </c>
      <c r="AK78" s="155" t="s">
        <v>340</v>
      </c>
      <c r="AL78" s="63" t="s">
        <v>282</v>
      </c>
      <c r="AM78" s="63" t="s">
        <v>282</v>
      </c>
      <c r="AN78" s="63" t="s">
        <v>282</v>
      </c>
      <c r="AO78" s="63" t="s">
        <v>282</v>
      </c>
      <c r="AP78" s="38" t="s">
        <v>312</v>
      </c>
      <c r="AQ78" s="37" t="s">
        <v>269</v>
      </c>
      <c r="AR78" s="155" t="s">
        <v>505</v>
      </c>
      <c r="AS78" s="155" t="s">
        <v>505</v>
      </c>
      <c r="AT78" s="155" t="s">
        <v>505</v>
      </c>
      <c r="AU78" s="155" t="s">
        <v>505</v>
      </c>
      <c r="AV78" s="155" t="s">
        <v>340</v>
      </c>
      <c r="AW78" s="155" t="s">
        <v>340</v>
      </c>
      <c r="AX78" s="155" t="s">
        <v>340</v>
      </c>
      <c r="AY78" s="155" t="s">
        <v>340</v>
      </c>
      <c r="AZ78" s="63" t="s">
        <v>282</v>
      </c>
      <c r="BA78" s="63" t="s">
        <v>282</v>
      </c>
      <c r="BB78" s="63" t="s">
        <v>282</v>
      </c>
      <c r="BC78" s="63" t="s">
        <v>282</v>
      </c>
      <c r="BD78" s="38" t="s">
        <v>312</v>
      </c>
      <c r="BE78" s="155" t="s">
        <v>250</v>
      </c>
      <c r="BF78" s="29" t="s">
        <v>503</v>
      </c>
      <c r="BG78" s="53" t="s">
        <v>220</v>
      </c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</row>
    <row r="79" spans="1:70" ht="20" x14ac:dyDescent="0.2">
      <c r="A79" s="56" t="s">
        <v>507</v>
      </c>
      <c r="B79" s="38" t="s">
        <v>252</v>
      </c>
      <c r="C79" s="38" t="s">
        <v>252</v>
      </c>
      <c r="D79" s="38" t="s">
        <v>252</v>
      </c>
      <c r="E79" s="38" t="s">
        <v>252</v>
      </c>
      <c r="F79" s="28" t="s">
        <v>243</v>
      </c>
      <c r="G79" s="28" t="s">
        <v>243</v>
      </c>
      <c r="H79" s="28" t="s">
        <v>243</v>
      </c>
      <c r="I79" s="28" t="s">
        <v>243</v>
      </c>
      <c r="J79" s="63" t="s">
        <v>282</v>
      </c>
      <c r="K79" s="38" t="s">
        <v>252</v>
      </c>
      <c r="L79" s="155" t="s">
        <v>340</v>
      </c>
      <c r="M79" s="155" t="s">
        <v>340</v>
      </c>
      <c r="N79" s="155" t="s">
        <v>340</v>
      </c>
      <c r="O79" s="155" t="s">
        <v>340</v>
      </c>
      <c r="P79" s="155" t="s">
        <v>340</v>
      </c>
      <c r="Q79" s="155" t="s">
        <v>340</v>
      </c>
      <c r="R79" s="38" t="s">
        <v>252</v>
      </c>
      <c r="S79" s="63" t="s">
        <v>256</v>
      </c>
      <c r="T79" s="28" t="s">
        <v>243</v>
      </c>
      <c r="U79" s="28" t="s">
        <v>243</v>
      </c>
      <c r="V79" s="28" t="s">
        <v>243</v>
      </c>
      <c r="W79" s="28" t="s">
        <v>243</v>
      </c>
      <c r="X79" s="63" t="s">
        <v>282</v>
      </c>
      <c r="Y79" s="38" t="s">
        <v>252</v>
      </c>
      <c r="Z79" s="155" t="s">
        <v>340</v>
      </c>
      <c r="AA79" s="155" t="s">
        <v>340</v>
      </c>
      <c r="AB79" s="155" t="s">
        <v>340</v>
      </c>
      <c r="AC79" s="155" t="s">
        <v>340</v>
      </c>
      <c r="AD79" s="155" t="s">
        <v>340</v>
      </c>
      <c r="AE79" s="155" t="s">
        <v>340</v>
      </c>
      <c r="AF79" s="38" t="s">
        <v>252</v>
      </c>
      <c r="AG79" s="63" t="s">
        <v>256</v>
      </c>
      <c r="AH79" s="28" t="s">
        <v>243</v>
      </c>
      <c r="AI79" s="28" t="s">
        <v>243</v>
      </c>
      <c r="AJ79" s="28" t="s">
        <v>243</v>
      </c>
      <c r="AK79" s="28" t="s">
        <v>243</v>
      </c>
      <c r="AL79" s="63" t="s">
        <v>282</v>
      </c>
      <c r="AM79" s="38" t="s">
        <v>252</v>
      </c>
      <c r="AN79" s="155" t="s">
        <v>340</v>
      </c>
      <c r="AO79" s="155" t="s">
        <v>340</v>
      </c>
      <c r="AP79" s="155" t="s">
        <v>340</v>
      </c>
      <c r="AQ79" s="155" t="s">
        <v>340</v>
      </c>
      <c r="AR79" s="155" t="s">
        <v>340</v>
      </c>
      <c r="AS79" s="155" t="s">
        <v>340</v>
      </c>
      <c r="AT79" s="59" t="s">
        <v>341</v>
      </c>
      <c r="AU79" s="63" t="s">
        <v>256</v>
      </c>
      <c r="AV79" s="28" t="s">
        <v>243</v>
      </c>
      <c r="AW79" s="28" t="s">
        <v>243</v>
      </c>
      <c r="AX79" s="28" t="s">
        <v>243</v>
      </c>
      <c r="AY79" s="28" t="s">
        <v>243</v>
      </c>
      <c r="AZ79" s="38" t="s">
        <v>252</v>
      </c>
      <c r="BA79" s="38" t="s">
        <v>252</v>
      </c>
      <c r="BB79" s="63" t="s">
        <v>282</v>
      </c>
      <c r="BC79" s="63" t="s">
        <v>282</v>
      </c>
      <c r="BD79" s="155" t="s">
        <v>494</v>
      </c>
      <c r="BE79" s="155" t="s">
        <v>250</v>
      </c>
      <c r="BF79" s="55" t="s">
        <v>504</v>
      </c>
      <c r="BG79" s="53" t="s">
        <v>220</v>
      </c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</row>
    <row r="80" spans="1:70" ht="20" x14ac:dyDescent="0.2">
      <c r="A80" s="56" t="s">
        <v>508</v>
      </c>
      <c r="B80" s="38" t="s">
        <v>252</v>
      </c>
      <c r="C80" s="155" t="s">
        <v>268</v>
      </c>
      <c r="D80" s="155" t="s">
        <v>81</v>
      </c>
      <c r="E80" s="38" t="s">
        <v>252</v>
      </c>
      <c r="F80" s="28" t="s">
        <v>243</v>
      </c>
      <c r="G80" s="28" t="s">
        <v>243</v>
      </c>
      <c r="H80" s="28" t="s">
        <v>243</v>
      </c>
      <c r="I80" s="28" t="s">
        <v>243</v>
      </c>
      <c r="J80" s="155" t="s">
        <v>81</v>
      </c>
      <c r="K80" s="155" t="s">
        <v>327</v>
      </c>
      <c r="L80" s="155" t="s">
        <v>81</v>
      </c>
      <c r="M80" s="38" t="s">
        <v>252</v>
      </c>
      <c r="N80" s="155" t="s">
        <v>500</v>
      </c>
      <c r="O80" s="155" t="s">
        <v>250</v>
      </c>
      <c r="P80" s="155" t="s">
        <v>276</v>
      </c>
      <c r="Q80" s="155" t="s">
        <v>268</v>
      </c>
      <c r="R80" s="155" t="s">
        <v>81</v>
      </c>
      <c r="S80" s="38" t="s">
        <v>252</v>
      </c>
      <c r="T80" s="28" t="s">
        <v>243</v>
      </c>
      <c r="U80" s="28" t="s">
        <v>243</v>
      </c>
      <c r="V80" s="28" t="s">
        <v>243</v>
      </c>
      <c r="W80" s="28" t="s">
        <v>243</v>
      </c>
      <c r="X80" s="155" t="s">
        <v>81</v>
      </c>
      <c r="Y80" s="155" t="s">
        <v>274</v>
      </c>
      <c r="Z80" s="38" t="s">
        <v>252</v>
      </c>
      <c r="AA80" s="38" t="s">
        <v>252</v>
      </c>
      <c r="AB80" s="155" t="s">
        <v>81</v>
      </c>
      <c r="AC80" s="155" t="s">
        <v>250</v>
      </c>
      <c r="AD80" s="155" t="s">
        <v>81</v>
      </c>
      <c r="AE80" s="155" t="s">
        <v>268</v>
      </c>
      <c r="AF80" s="155" t="s">
        <v>81</v>
      </c>
      <c r="AG80" s="38" t="s">
        <v>252</v>
      </c>
      <c r="AH80" s="28" t="s">
        <v>243</v>
      </c>
      <c r="AI80" s="28" t="s">
        <v>243</v>
      </c>
      <c r="AJ80" s="28" t="s">
        <v>243</v>
      </c>
      <c r="AK80" s="28" t="s">
        <v>243</v>
      </c>
      <c r="AL80" s="155" t="s">
        <v>509</v>
      </c>
      <c r="AM80" s="155" t="s">
        <v>509</v>
      </c>
      <c r="AN80" s="155" t="s">
        <v>81</v>
      </c>
      <c r="AO80" s="38" t="s">
        <v>252</v>
      </c>
      <c r="AP80" s="155" t="s">
        <v>500</v>
      </c>
      <c r="AQ80" s="37" t="s">
        <v>269</v>
      </c>
      <c r="AR80" s="155" t="s">
        <v>274</v>
      </c>
      <c r="AS80" s="155" t="s">
        <v>268</v>
      </c>
      <c r="AT80" s="155" t="s">
        <v>81</v>
      </c>
      <c r="AU80" s="38" t="s">
        <v>252</v>
      </c>
      <c r="AV80" s="28" t="s">
        <v>243</v>
      </c>
      <c r="AW80" s="28" t="s">
        <v>243</v>
      </c>
      <c r="AX80" s="28" t="s">
        <v>243</v>
      </c>
      <c r="AY80" s="28" t="s">
        <v>243</v>
      </c>
      <c r="AZ80" s="155" t="s">
        <v>81</v>
      </c>
      <c r="BA80" s="155" t="s">
        <v>273</v>
      </c>
      <c r="BB80" s="38" t="s">
        <v>252</v>
      </c>
      <c r="BC80" s="38" t="s">
        <v>252</v>
      </c>
      <c r="BD80" s="59" t="s">
        <v>341</v>
      </c>
      <c r="BE80" s="155" t="s">
        <v>250</v>
      </c>
      <c r="BF80" s="29" t="s">
        <v>507</v>
      </c>
      <c r="BG80" s="53" t="s">
        <v>220</v>
      </c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</row>
    <row r="81" spans="1:70" ht="20" x14ac:dyDescent="0.2">
      <c r="A81" s="66" t="s">
        <v>510</v>
      </c>
      <c r="B81" s="38" t="s">
        <v>252</v>
      </c>
      <c r="C81" s="38" t="s">
        <v>252</v>
      </c>
      <c r="D81" s="38" t="s">
        <v>252</v>
      </c>
      <c r="E81" s="38" t="s">
        <v>252</v>
      </c>
      <c r="F81" s="28" t="s">
        <v>243</v>
      </c>
      <c r="G81" s="28" t="s">
        <v>243</v>
      </c>
      <c r="H81" s="28" t="s">
        <v>243</v>
      </c>
      <c r="I81" s="28" t="s">
        <v>243</v>
      </c>
      <c r="J81" s="63" t="s">
        <v>282</v>
      </c>
      <c r="K81" s="38" t="s">
        <v>252</v>
      </c>
      <c r="L81" s="155" t="s">
        <v>340</v>
      </c>
      <c r="M81" s="155" t="s">
        <v>340</v>
      </c>
      <c r="N81" s="155" t="s">
        <v>340</v>
      </c>
      <c r="O81" s="155" t="s">
        <v>340</v>
      </c>
      <c r="P81" s="155" t="s">
        <v>340</v>
      </c>
      <c r="Q81" s="155" t="s">
        <v>340</v>
      </c>
      <c r="R81" s="155" t="s">
        <v>340</v>
      </c>
      <c r="S81" s="63" t="s">
        <v>256</v>
      </c>
      <c r="T81" s="28" t="s">
        <v>243</v>
      </c>
      <c r="U81" s="28" t="s">
        <v>243</v>
      </c>
      <c r="V81" s="28" t="s">
        <v>243</v>
      </c>
      <c r="W81" s="28" t="s">
        <v>243</v>
      </c>
      <c r="X81" s="63" t="s">
        <v>282</v>
      </c>
      <c r="Y81" s="38" t="s">
        <v>252</v>
      </c>
      <c r="Z81" s="155" t="s">
        <v>340</v>
      </c>
      <c r="AA81" s="155" t="s">
        <v>340</v>
      </c>
      <c r="AB81" s="155" t="s">
        <v>340</v>
      </c>
      <c r="AC81" s="155" t="s">
        <v>340</v>
      </c>
      <c r="AD81" s="155" t="s">
        <v>340</v>
      </c>
      <c r="AE81" s="155" t="s">
        <v>340</v>
      </c>
      <c r="AF81" s="155" t="s">
        <v>340</v>
      </c>
      <c r="AG81" s="63" t="s">
        <v>256</v>
      </c>
      <c r="AH81" s="28" t="s">
        <v>243</v>
      </c>
      <c r="AI81" s="28" t="s">
        <v>243</v>
      </c>
      <c r="AJ81" s="28" t="s">
        <v>243</v>
      </c>
      <c r="AK81" s="28" t="s">
        <v>243</v>
      </c>
      <c r="AL81" s="63" t="s">
        <v>282</v>
      </c>
      <c r="AM81" s="38" t="s">
        <v>252</v>
      </c>
      <c r="AN81" s="155" t="s">
        <v>340</v>
      </c>
      <c r="AO81" s="155" t="s">
        <v>340</v>
      </c>
      <c r="AP81" s="155" t="s">
        <v>340</v>
      </c>
      <c r="AQ81" s="155" t="s">
        <v>340</v>
      </c>
      <c r="AR81" s="155" t="s">
        <v>340</v>
      </c>
      <c r="AS81" s="155" t="s">
        <v>340</v>
      </c>
      <c r="AT81" s="38" t="s">
        <v>252</v>
      </c>
      <c r="AU81" s="63" t="s">
        <v>256</v>
      </c>
      <c r="AV81" s="28" t="s">
        <v>243</v>
      </c>
      <c r="AW81" s="28" t="s">
        <v>243</v>
      </c>
      <c r="AX81" s="28" t="s">
        <v>243</v>
      </c>
      <c r="AY81" s="28" t="s">
        <v>243</v>
      </c>
      <c r="AZ81" s="155" t="s">
        <v>258</v>
      </c>
      <c r="BA81" s="38" t="s">
        <v>252</v>
      </c>
      <c r="BB81" s="155" t="s">
        <v>340</v>
      </c>
      <c r="BC81" s="63" t="s">
        <v>256</v>
      </c>
      <c r="BD81" s="155" t="s">
        <v>494</v>
      </c>
      <c r="BE81" s="155" t="s">
        <v>340</v>
      </c>
      <c r="BF81" s="55" t="s">
        <v>511</v>
      </c>
      <c r="BG81" s="53" t="s">
        <v>220</v>
      </c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</row>
    <row r="82" spans="1:70" ht="20" x14ac:dyDescent="0.2">
      <c r="A82" s="66" t="s">
        <v>507</v>
      </c>
      <c r="B82" s="155" t="s">
        <v>340</v>
      </c>
      <c r="C82" s="155" t="s">
        <v>340</v>
      </c>
      <c r="D82" s="38" t="s">
        <v>252</v>
      </c>
      <c r="E82" s="63" t="s">
        <v>256</v>
      </c>
      <c r="F82" s="28" t="s">
        <v>243</v>
      </c>
      <c r="G82" s="28" t="s">
        <v>243</v>
      </c>
      <c r="H82" s="28" t="s">
        <v>243</v>
      </c>
      <c r="I82" s="28" t="s">
        <v>243</v>
      </c>
      <c r="J82" s="155" t="s">
        <v>340</v>
      </c>
      <c r="K82" s="155" t="s">
        <v>340</v>
      </c>
      <c r="L82" s="155" t="s">
        <v>340</v>
      </c>
      <c r="M82" s="155" t="s">
        <v>340</v>
      </c>
      <c r="N82" s="155" t="s">
        <v>340</v>
      </c>
      <c r="O82" s="155" t="s">
        <v>340</v>
      </c>
      <c r="P82" s="155" t="s">
        <v>340</v>
      </c>
      <c r="Q82" s="155" t="s">
        <v>340</v>
      </c>
      <c r="R82" s="38" t="s">
        <v>252</v>
      </c>
      <c r="S82" s="63" t="s">
        <v>256</v>
      </c>
      <c r="T82" s="28" t="s">
        <v>243</v>
      </c>
      <c r="U82" s="28" t="s">
        <v>243</v>
      </c>
      <c r="V82" s="28" t="s">
        <v>243</v>
      </c>
      <c r="W82" s="28" t="s">
        <v>243</v>
      </c>
      <c r="X82" s="155" t="s">
        <v>340</v>
      </c>
      <c r="Y82" s="155" t="s">
        <v>340</v>
      </c>
      <c r="Z82" s="155" t="s">
        <v>340</v>
      </c>
      <c r="AA82" s="155" t="s">
        <v>340</v>
      </c>
      <c r="AB82" s="155" t="s">
        <v>340</v>
      </c>
      <c r="AC82" s="155" t="s">
        <v>340</v>
      </c>
      <c r="AD82" s="155" t="s">
        <v>340</v>
      </c>
      <c r="AE82" s="155" t="s">
        <v>340</v>
      </c>
      <c r="AF82" s="38" t="s">
        <v>252</v>
      </c>
      <c r="AG82" s="63" t="s">
        <v>256</v>
      </c>
      <c r="AH82" s="28" t="s">
        <v>243</v>
      </c>
      <c r="AI82" s="28" t="s">
        <v>243</v>
      </c>
      <c r="AJ82" s="28" t="s">
        <v>243</v>
      </c>
      <c r="AK82" s="28" t="s">
        <v>243</v>
      </c>
      <c r="AL82" s="155" t="s">
        <v>340</v>
      </c>
      <c r="AM82" s="155" t="s">
        <v>340</v>
      </c>
      <c r="AN82" s="155" t="s">
        <v>340</v>
      </c>
      <c r="AO82" s="155" t="s">
        <v>340</v>
      </c>
      <c r="AP82" s="155" t="s">
        <v>340</v>
      </c>
      <c r="AQ82" s="155" t="s">
        <v>340</v>
      </c>
      <c r="AR82" s="155" t="s">
        <v>340</v>
      </c>
      <c r="AS82" s="155" t="s">
        <v>340</v>
      </c>
      <c r="AT82" s="38" t="s">
        <v>252</v>
      </c>
      <c r="AU82" s="63" t="s">
        <v>256</v>
      </c>
      <c r="AV82" s="28" t="s">
        <v>243</v>
      </c>
      <c r="AW82" s="28" t="s">
        <v>243</v>
      </c>
      <c r="AX82" s="28" t="s">
        <v>243</v>
      </c>
      <c r="AY82" s="28" t="s">
        <v>243</v>
      </c>
      <c r="AZ82" s="155" t="s">
        <v>340</v>
      </c>
      <c r="BA82" s="155" t="s">
        <v>340</v>
      </c>
      <c r="BB82" s="155" t="s">
        <v>340</v>
      </c>
      <c r="BC82" s="155" t="s">
        <v>340</v>
      </c>
      <c r="BD82" s="155" t="s">
        <v>340</v>
      </c>
      <c r="BE82" s="155" t="s">
        <v>250</v>
      </c>
      <c r="BF82" s="29" t="s">
        <v>512</v>
      </c>
      <c r="BG82" s="53" t="s">
        <v>220</v>
      </c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</row>
    <row r="83" spans="1:70" ht="20" x14ac:dyDescent="0.2">
      <c r="A83" s="65" t="s">
        <v>513</v>
      </c>
      <c r="B83" s="155" t="s">
        <v>332</v>
      </c>
      <c r="C83" s="155" t="s">
        <v>332</v>
      </c>
      <c r="D83" s="38" t="s">
        <v>252</v>
      </c>
      <c r="E83" s="38" t="s">
        <v>252</v>
      </c>
      <c r="F83" s="28" t="s">
        <v>243</v>
      </c>
      <c r="G83" s="28" t="s">
        <v>243</v>
      </c>
      <c r="H83" s="28" t="s">
        <v>243</v>
      </c>
      <c r="I83" s="28" t="s">
        <v>243</v>
      </c>
      <c r="J83" s="155" t="s">
        <v>332</v>
      </c>
      <c r="K83" s="155" t="s">
        <v>332</v>
      </c>
      <c r="L83" s="155" t="s">
        <v>332</v>
      </c>
      <c r="M83" s="155" t="s">
        <v>332</v>
      </c>
      <c r="N83" s="155" t="s">
        <v>332</v>
      </c>
      <c r="O83" s="155" t="s">
        <v>250</v>
      </c>
      <c r="P83" s="155" t="s">
        <v>332</v>
      </c>
      <c r="Q83" s="155" t="s">
        <v>332</v>
      </c>
      <c r="R83" s="38" t="s">
        <v>252</v>
      </c>
      <c r="S83" s="38" t="s">
        <v>252</v>
      </c>
      <c r="T83" s="28" t="s">
        <v>243</v>
      </c>
      <c r="U83" s="28" t="s">
        <v>243</v>
      </c>
      <c r="V83" s="28" t="s">
        <v>243</v>
      </c>
      <c r="W83" s="28" t="s">
        <v>243</v>
      </c>
      <c r="X83" s="155" t="s">
        <v>332</v>
      </c>
      <c r="Y83" s="155" t="s">
        <v>332</v>
      </c>
      <c r="Z83" s="155" t="s">
        <v>332</v>
      </c>
      <c r="AA83" s="155" t="s">
        <v>332</v>
      </c>
      <c r="AB83" s="155" t="s">
        <v>332</v>
      </c>
      <c r="AC83" s="155" t="s">
        <v>250</v>
      </c>
      <c r="AD83" s="155" t="s">
        <v>332</v>
      </c>
      <c r="AE83" s="155" t="s">
        <v>332</v>
      </c>
      <c r="AF83" s="38" t="s">
        <v>252</v>
      </c>
      <c r="AG83" s="38" t="s">
        <v>252</v>
      </c>
      <c r="AH83" s="28" t="s">
        <v>243</v>
      </c>
      <c r="AI83" s="28" t="s">
        <v>243</v>
      </c>
      <c r="AJ83" s="28" t="s">
        <v>243</v>
      </c>
      <c r="AK83" s="28" t="s">
        <v>243</v>
      </c>
      <c r="AL83" s="155" t="s">
        <v>332</v>
      </c>
      <c r="AM83" s="155" t="s">
        <v>332</v>
      </c>
      <c r="AN83" s="155" t="s">
        <v>332</v>
      </c>
      <c r="AO83" s="155" t="s">
        <v>332</v>
      </c>
      <c r="AP83" s="155" t="s">
        <v>332</v>
      </c>
      <c r="AQ83" s="37" t="s">
        <v>269</v>
      </c>
      <c r="AR83" s="155" t="s">
        <v>332</v>
      </c>
      <c r="AS83" s="155" t="s">
        <v>332</v>
      </c>
      <c r="AT83" s="38" t="s">
        <v>252</v>
      </c>
      <c r="AU83" s="38" t="s">
        <v>252</v>
      </c>
      <c r="AV83" s="28" t="s">
        <v>243</v>
      </c>
      <c r="AW83" s="28" t="s">
        <v>243</v>
      </c>
      <c r="AX83" s="28" t="s">
        <v>243</v>
      </c>
      <c r="AY83" s="28" t="s">
        <v>243</v>
      </c>
      <c r="AZ83" s="155" t="s">
        <v>332</v>
      </c>
      <c r="BA83" s="155" t="s">
        <v>332</v>
      </c>
      <c r="BB83" s="155" t="s">
        <v>332</v>
      </c>
      <c r="BC83" s="155" t="s">
        <v>332</v>
      </c>
      <c r="BD83" s="59" t="s">
        <v>341</v>
      </c>
      <c r="BE83" s="155" t="s">
        <v>250</v>
      </c>
      <c r="BF83" s="29" t="s">
        <v>507</v>
      </c>
      <c r="BG83" s="53" t="s">
        <v>220</v>
      </c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</row>
    <row r="84" spans="1:70" ht="20" x14ac:dyDescent="0.2">
      <c r="A84" s="66" t="s">
        <v>514</v>
      </c>
      <c r="B84" s="155" t="s">
        <v>515</v>
      </c>
      <c r="C84" s="155" t="s">
        <v>515</v>
      </c>
      <c r="D84" s="38" t="s">
        <v>252</v>
      </c>
      <c r="E84" s="38" t="s">
        <v>252</v>
      </c>
      <c r="F84" s="28" t="s">
        <v>243</v>
      </c>
      <c r="G84" s="28" t="s">
        <v>243</v>
      </c>
      <c r="H84" s="28" t="s">
        <v>243</v>
      </c>
      <c r="I84" s="28" t="s">
        <v>243</v>
      </c>
      <c r="J84" s="155" t="s">
        <v>515</v>
      </c>
      <c r="K84" s="155" t="s">
        <v>515</v>
      </c>
      <c r="L84" s="38" t="s">
        <v>252</v>
      </c>
      <c r="M84" s="155" t="s">
        <v>515</v>
      </c>
      <c r="N84" s="155" t="s">
        <v>515</v>
      </c>
      <c r="O84" s="155" t="s">
        <v>250</v>
      </c>
      <c r="P84" s="155" t="s">
        <v>515</v>
      </c>
      <c r="Q84" s="155" t="s">
        <v>515</v>
      </c>
      <c r="R84" s="38" t="s">
        <v>252</v>
      </c>
      <c r="S84" s="38" t="s">
        <v>252</v>
      </c>
      <c r="T84" s="28" t="s">
        <v>243</v>
      </c>
      <c r="U84" s="28" t="s">
        <v>243</v>
      </c>
      <c r="V84" s="28" t="s">
        <v>243</v>
      </c>
      <c r="W84" s="28" t="s">
        <v>243</v>
      </c>
      <c r="X84" s="155" t="s">
        <v>515</v>
      </c>
      <c r="Y84" s="155" t="s">
        <v>515</v>
      </c>
      <c r="Z84" s="155" t="s">
        <v>516</v>
      </c>
      <c r="AA84" s="155" t="s">
        <v>515</v>
      </c>
      <c r="AB84" s="155" t="s">
        <v>515</v>
      </c>
      <c r="AC84" s="155" t="s">
        <v>250</v>
      </c>
      <c r="AD84" s="155" t="s">
        <v>515</v>
      </c>
      <c r="AE84" s="155" t="s">
        <v>515</v>
      </c>
      <c r="AF84" s="38" t="s">
        <v>252</v>
      </c>
      <c r="AG84" s="38" t="s">
        <v>252</v>
      </c>
      <c r="AH84" s="28" t="s">
        <v>243</v>
      </c>
      <c r="AI84" s="28" t="s">
        <v>243</v>
      </c>
      <c r="AJ84" s="28" t="s">
        <v>243</v>
      </c>
      <c r="AK84" s="28" t="s">
        <v>243</v>
      </c>
      <c r="AL84" s="155" t="s">
        <v>515</v>
      </c>
      <c r="AM84" s="155" t="s">
        <v>515</v>
      </c>
      <c r="AN84" s="38" t="s">
        <v>252</v>
      </c>
      <c r="AO84" s="155" t="s">
        <v>515</v>
      </c>
      <c r="AP84" s="155" t="s">
        <v>515</v>
      </c>
      <c r="AQ84" s="37" t="s">
        <v>269</v>
      </c>
      <c r="AR84" s="155" t="s">
        <v>515</v>
      </c>
      <c r="AS84" s="155" t="s">
        <v>515</v>
      </c>
      <c r="AT84" s="38" t="s">
        <v>252</v>
      </c>
      <c r="AU84" s="38" t="s">
        <v>252</v>
      </c>
      <c r="AV84" s="28" t="s">
        <v>243</v>
      </c>
      <c r="AW84" s="28" t="s">
        <v>243</v>
      </c>
      <c r="AX84" s="28" t="s">
        <v>243</v>
      </c>
      <c r="AY84" s="28" t="s">
        <v>243</v>
      </c>
      <c r="AZ84" s="155" t="s">
        <v>515</v>
      </c>
      <c r="BA84" s="155" t="s">
        <v>515</v>
      </c>
      <c r="BB84" s="38" t="s">
        <v>252</v>
      </c>
      <c r="BC84" s="155" t="s">
        <v>515</v>
      </c>
      <c r="BD84" s="59" t="s">
        <v>341</v>
      </c>
      <c r="BE84" s="155" t="s">
        <v>250</v>
      </c>
      <c r="BF84" s="55" t="s">
        <v>418</v>
      </c>
      <c r="BG84" s="53" t="s">
        <v>220</v>
      </c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</row>
    <row r="85" spans="1:70" ht="20" x14ac:dyDescent="0.2">
      <c r="A85" s="66" t="s">
        <v>517</v>
      </c>
      <c r="B85" s="155" t="s">
        <v>349</v>
      </c>
      <c r="C85" s="155" t="s">
        <v>349</v>
      </c>
      <c r="D85" s="60" t="s">
        <v>518</v>
      </c>
      <c r="E85" s="38" t="s">
        <v>252</v>
      </c>
      <c r="F85" s="28" t="s">
        <v>243</v>
      </c>
      <c r="G85" s="28" t="s">
        <v>243</v>
      </c>
      <c r="H85" s="28" t="s">
        <v>243</v>
      </c>
      <c r="I85" s="28" t="s">
        <v>243</v>
      </c>
      <c r="J85" s="155" t="s">
        <v>349</v>
      </c>
      <c r="K85" s="155" t="s">
        <v>349</v>
      </c>
      <c r="L85" s="155" t="s">
        <v>349</v>
      </c>
      <c r="M85" s="155" t="s">
        <v>349</v>
      </c>
      <c r="N85" s="155" t="s">
        <v>349</v>
      </c>
      <c r="O85" s="155" t="s">
        <v>250</v>
      </c>
      <c r="P85" s="155" t="s">
        <v>349</v>
      </c>
      <c r="Q85" s="155" t="s">
        <v>349</v>
      </c>
      <c r="R85" s="38" t="s">
        <v>252</v>
      </c>
      <c r="S85" s="38" t="s">
        <v>252</v>
      </c>
      <c r="T85" s="28" t="s">
        <v>243</v>
      </c>
      <c r="U85" s="28" t="s">
        <v>243</v>
      </c>
      <c r="V85" s="28" t="s">
        <v>243</v>
      </c>
      <c r="W85" s="28" t="s">
        <v>243</v>
      </c>
      <c r="X85" s="155" t="s">
        <v>349</v>
      </c>
      <c r="Y85" s="155" t="s">
        <v>349</v>
      </c>
      <c r="Z85" s="155" t="s">
        <v>349</v>
      </c>
      <c r="AA85" s="38" t="s">
        <v>252</v>
      </c>
      <c r="AB85" s="155" t="s">
        <v>349</v>
      </c>
      <c r="AC85" s="155" t="s">
        <v>250</v>
      </c>
      <c r="AD85" s="155" t="s">
        <v>349</v>
      </c>
      <c r="AE85" s="155" t="s">
        <v>349</v>
      </c>
      <c r="AF85" s="60" t="s">
        <v>518</v>
      </c>
      <c r="AG85" s="38" t="s">
        <v>252</v>
      </c>
      <c r="AH85" s="28" t="s">
        <v>243</v>
      </c>
      <c r="AI85" s="28" t="s">
        <v>243</v>
      </c>
      <c r="AJ85" s="28" t="s">
        <v>243</v>
      </c>
      <c r="AK85" s="28" t="s">
        <v>243</v>
      </c>
      <c r="AL85" s="155" t="s">
        <v>349</v>
      </c>
      <c r="AM85" s="155" t="s">
        <v>349</v>
      </c>
      <c r="AN85" s="155" t="s">
        <v>349</v>
      </c>
      <c r="AO85" s="155" t="s">
        <v>349</v>
      </c>
      <c r="AP85" s="155" t="s">
        <v>349</v>
      </c>
      <c r="AQ85" s="37" t="s">
        <v>269</v>
      </c>
      <c r="AR85" s="155" t="s">
        <v>349</v>
      </c>
      <c r="AS85" s="155" t="s">
        <v>349</v>
      </c>
      <c r="AT85" s="38" t="s">
        <v>252</v>
      </c>
      <c r="AU85" s="38" t="s">
        <v>252</v>
      </c>
      <c r="AV85" s="28" t="s">
        <v>243</v>
      </c>
      <c r="AW85" s="28" t="s">
        <v>243</v>
      </c>
      <c r="AX85" s="28" t="s">
        <v>243</v>
      </c>
      <c r="AY85" s="28" t="s">
        <v>243</v>
      </c>
      <c r="AZ85" s="155" t="s">
        <v>349</v>
      </c>
      <c r="BA85" s="155" t="s">
        <v>349</v>
      </c>
      <c r="BB85" s="155" t="s">
        <v>349</v>
      </c>
      <c r="BC85" s="38" t="s">
        <v>252</v>
      </c>
      <c r="BD85" s="59" t="s">
        <v>341</v>
      </c>
      <c r="BE85" s="155" t="s">
        <v>250</v>
      </c>
      <c r="BF85" s="55" t="s">
        <v>514</v>
      </c>
      <c r="BG85" s="53" t="s">
        <v>220</v>
      </c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</row>
    <row r="86" spans="1:70" ht="20" x14ac:dyDescent="0.2">
      <c r="A86" s="56" t="s">
        <v>519</v>
      </c>
      <c r="B86" s="155" t="s">
        <v>343</v>
      </c>
      <c r="C86" s="155" t="s">
        <v>343</v>
      </c>
      <c r="D86" s="60" t="s">
        <v>318</v>
      </c>
      <c r="E86" s="155" t="s">
        <v>520</v>
      </c>
      <c r="F86" s="28" t="s">
        <v>243</v>
      </c>
      <c r="G86" s="28" t="s">
        <v>243</v>
      </c>
      <c r="H86" s="28" t="s">
        <v>243</v>
      </c>
      <c r="I86" s="28" t="s">
        <v>243</v>
      </c>
      <c r="J86" s="60" t="s">
        <v>518</v>
      </c>
      <c r="K86" s="38" t="s">
        <v>252</v>
      </c>
      <c r="L86" s="155" t="s">
        <v>343</v>
      </c>
      <c r="M86" s="155" t="s">
        <v>343</v>
      </c>
      <c r="N86" s="38" t="s">
        <v>252</v>
      </c>
      <c r="O86" s="155" t="s">
        <v>250</v>
      </c>
      <c r="P86" s="155" t="s">
        <v>343</v>
      </c>
      <c r="Q86" s="60" t="s">
        <v>518</v>
      </c>
      <c r="R86" s="155" t="s">
        <v>343</v>
      </c>
      <c r="S86" s="155" t="s">
        <v>520</v>
      </c>
      <c r="T86" s="28" t="s">
        <v>243</v>
      </c>
      <c r="U86" s="28" t="s">
        <v>243</v>
      </c>
      <c r="V86" s="28" t="s">
        <v>243</v>
      </c>
      <c r="W86" s="28" t="s">
        <v>243</v>
      </c>
      <c r="X86" s="60" t="s">
        <v>518</v>
      </c>
      <c r="Y86" s="38" t="s">
        <v>252</v>
      </c>
      <c r="Z86" s="155" t="s">
        <v>343</v>
      </c>
      <c r="AA86" s="155" t="s">
        <v>343</v>
      </c>
      <c r="AB86" s="38" t="s">
        <v>252</v>
      </c>
      <c r="AC86" s="155" t="s">
        <v>250</v>
      </c>
      <c r="AD86" s="155" t="s">
        <v>343</v>
      </c>
      <c r="AE86" s="60" t="s">
        <v>518</v>
      </c>
      <c r="AF86" s="155" t="s">
        <v>343</v>
      </c>
      <c r="AG86" s="155" t="s">
        <v>520</v>
      </c>
      <c r="AH86" s="28" t="s">
        <v>243</v>
      </c>
      <c r="AI86" s="28" t="s">
        <v>243</v>
      </c>
      <c r="AJ86" s="28" t="s">
        <v>243</v>
      </c>
      <c r="AK86" s="28" t="s">
        <v>243</v>
      </c>
      <c r="AL86" s="60" t="s">
        <v>518</v>
      </c>
      <c r="AM86" s="38" t="s">
        <v>252</v>
      </c>
      <c r="AN86" s="155" t="s">
        <v>343</v>
      </c>
      <c r="AO86" s="155" t="s">
        <v>343</v>
      </c>
      <c r="AP86" s="38" t="s">
        <v>252</v>
      </c>
      <c r="AQ86" s="37" t="s">
        <v>269</v>
      </c>
      <c r="AR86" s="155" t="s">
        <v>343</v>
      </c>
      <c r="AS86" s="60" t="s">
        <v>321</v>
      </c>
      <c r="AT86" s="155" t="s">
        <v>343</v>
      </c>
      <c r="AU86" s="155" t="s">
        <v>520</v>
      </c>
      <c r="AV86" s="28" t="s">
        <v>243</v>
      </c>
      <c r="AW86" s="28" t="s">
        <v>243</v>
      </c>
      <c r="AX86" s="28" t="s">
        <v>243</v>
      </c>
      <c r="AY86" s="28" t="s">
        <v>243</v>
      </c>
      <c r="AZ86" s="38" t="s">
        <v>252</v>
      </c>
      <c r="BA86" s="38" t="s">
        <v>252</v>
      </c>
      <c r="BB86" s="155" t="s">
        <v>343</v>
      </c>
      <c r="BC86" s="155" t="s">
        <v>343</v>
      </c>
      <c r="BD86" s="59" t="s">
        <v>341</v>
      </c>
      <c r="BE86" s="155" t="s">
        <v>250</v>
      </c>
      <c r="BF86" s="55" t="s">
        <v>427</v>
      </c>
      <c r="BG86" s="53" t="s">
        <v>220</v>
      </c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</row>
    <row r="87" spans="1:70" ht="20" x14ac:dyDescent="0.2">
      <c r="A87" s="56" t="s">
        <v>448</v>
      </c>
      <c r="B87" s="155" t="s">
        <v>33</v>
      </c>
      <c r="C87" s="155" t="s">
        <v>33</v>
      </c>
      <c r="D87" s="155" t="s">
        <v>33</v>
      </c>
      <c r="E87" s="155" t="s">
        <v>33</v>
      </c>
      <c r="F87" s="155" t="s">
        <v>33</v>
      </c>
      <c r="G87" s="155" t="s">
        <v>33</v>
      </c>
      <c r="H87" s="155" t="s">
        <v>33</v>
      </c>
      <c r="I87" s="155" t="s">
        <v>33</v>
      </c>
      <c r="J87" s="155" t="s">
        <v>33</v>
      </c>
      <c r="K87" s="155" t="s">
        <v>33</v>
      </c>
      <c r="L87" s="155" t="s">
        <v>33</v>
      </c>
      <c r="M87" s="155" t="s">
        <v>33</v>
      </c>
      <c r="N87" s="38" t="s">
        <v>252</v>
      </c>
      <c r="O87" s="155" t="s">
        <v>250</v>
      </c>
      <c r="P87" s="155" t="s">
        <v>33</v>
      </c>
      <c r="Q87" s="155" t="s">
        <v>33</v>
      </c>
      <c r="R87" s="155" t="s">
        <v>33</v>
      </c>
      <c r="S87" s="155" t="s">
        <v>33</v>
      </c>
      <c r="T87" s="155" t="s">
        <v>33</v>
      </c>
      <c r="U87" s="155" t="s">
        <v>33</v>
      </c>
      <c r="V87" s="155" t="s">
        <v>33</v>
      </c>
      <c r="W87" s="155" t="s">
        <v>33</v>
      </c>
      <c r="X87" s="155" t="s">
        <v>33</v>
      </c>
      <c r="Y87" s="155" t="s">
        <v>33</v>
      </c>
      <c r="Z87" s="155" t="s">
        <v>33</v>
      </c>
      <c r="AA87" s="155" t="s">
        <v>33</v>
      </c>
      <c r="AB87" s="38" t="s">
        <v>252</v>
      </c>
      <c r="AC87" s="155" t="s">
        <v>250</v>
      </c>
      <c r="AD87" s="155" t="s">
        <v>33</v>
      </c>
      <c r="AE87" s="155" t="s">
        <v>33</v>
      </c>
      <c r="AF87" s="155" t="s">
        <v>33</v>
      </c>
      <c r="AG87" s="155" t="s">
        <v>33</v>
      </c>
      <c r="AH87" s="155" t="s">
        <v>33</v>
      </c>
      <c r="AI87" s="155" t="s">
        <v>33</v>
      </c>
      <c r="AJ87" s="155" t="s">
        <v>33</v>
      </c>
      <c r="AK87" s="155" t="s">
        <v>33</v>
      </c>
      <c r="AL87" s="155" t="s">
        <v>33</v>
      </c>
      <c r="AM87" s="155" t="s">
        <v>33</v>
      </c>
      <c r="AN87" s="155" t="s">
        <v>33</v>
      </c>
      <c r="AO87" s="155" t="s">
        <v>33</v>
      </c>
      <c r="AP87" s="155" t="s">
        <v>33</v>
      </c>
      <c r="AQ87" s="37" t="s">
        <v>269</v>
      </c>
      <c r="AR87" s="155" t="s">
        <v>33</v>
      </c>
      <c r="AS87" s="155" t="s">
        <v>33</v>
      </c>
      <c r="AT87" s="155" t="s">
        <v>33</v>
      </c>
      <c r="AU87" s="155" t="s">
        <v>33</v>
      </c>
      <c r="AV87" s="155" t="s">
        <v>33</v>
      </c>
      <c r="AW87" s="155" t="s">
        <v>33</v>
      </c>
      <c r="AX87" s="155" t="s">
        <v>33</v>
      </c>
      <c r="AY87" s="155" t="s">
        <v>33</v>
      </c>
      <c r="AZ87" s="155" t="s">
        <v>33</v>
      </c>
      <c r="BA87" s="155" t="s">
        <v>33</v>
      </c>
      <c r="BB87" s="155" t="s">
        <v>33</v>
      </c>
      <c r="BC87" s="155" t="s">
        <v>33</v>
      </c>
      <c r="BD87" s="38" t="s">
        <v>252</v>
      </c>
      <c r="BE87" s="155" t="s">
        <v>250</v>
      </c>
      <c r="BF87" s="55" t="s">
        <v>521</v>
      </c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</row>
    <row r="88" spans="1:70" ht="20" x14ac:dyDescent="0.2">
      <c r="A88" s="66" t="s">
        <v>522</v>
      </c>
      <c r="B88" s="38" t="s">
        <v>252</v>
      </c>
      <c r="C88" s="38" t="s">
        <v>252</v>
      </c>
      <c r="D88" s="38" t="s">
        <v>252</v>
      </c>
      <c r="E88" s="38" t="s">
        <v>252</v>
      </c>
      <c r="F88" s="28" t="s">
        <v>243</v>
      </c>
      <c r="G88" s="28" t="s">
        <v>243</v>
      </c>
      <c r="H88" s="28" t="s">
        <v>243</v>
      </c>
      <c r="I88" s="28" t="s">
        <v>243</v>
      </c>
      <c r="J88" s="38" t="s">
        <v>252</v>
      </c>
      <c r="K88" s="155" t="s">
        <v>322</v>
      </c>
      <c r="L88" s="61" t="s">
        <v>338</v>
      </c>
      <c r="M88" s="38" t="s">
        <v>252</v>
      </c>
      <c r="N88" s="155" t="s">
        <v>258</v>
      </c>
      <c r="O88" s="155" t="s">
        <v>250</v>
      </c>
      <c r="P88" s="38" t="s">
        <v>252</v>
      </c>
      <c r="Q88" s="38" t="s">
        <v>252</v>
      </c>
      <c r="R88" s="155" t="s">
        <v>322</v>
      </c>
      <c r="S88" s="38" t="s">
        <v>252</v>
      </c>
      <c r="T88" s="28" t="s">
        <v>243</v>
      </c>
      <c r="U88" s="28" t="s">
        <v>243</v>
      </c>
      <c r="V88" s="28" t="s">
        <v>243</v>
      </c>
      <c r="W88" s="28" t="s">
        <v>243</v>
      </c>
      <c r="X88" s="38" t="s">
        <v>252</v>
      </c>
      <c r="Y88" s="38" t="s">
        <v>252</v>
      </c>
      <c r="Z88" s="59" t="s">
        <v>333</v>
      </c>
      <c r="AA88" s="38" t="s">
        <v>252</v>
      </c>
      <c r="AB88" s="63" t="s">
        <v>282</v>
      </c>
      <c r="AC88" s="155" t="s">
        <v>323</v>
      </c>
      <c r="AD88" s="155" t="s">
        <v>323</v>
      </c>
      <c r="AE88" s="155" t="s">
        <v>323</v>
      </c>
      <c r="AF88" s="155" t="s">
        <v>323</v>
      </c>
      <c r="AG88" s="155" t="s">
        <v>323</v>
      </c>
      <c r="AH88" s="155" t="s">
        <v>323</v>
      </c>
      <c r="AI88" s="155" t="s">
        <v>323</v>
      </c>
      <c r="AJ88" s="155" t="s">
        <v>323</v>
      </c>
      <c r="AK88" s="155" t="s">
        <v>323</v>
      </c>
      <c r="AL88" s="63" t="s">
        <v>282</v>
      </c>
      <c r="AM88" s="63" t="s">
        <v>282</v>
      </c>
      <c r="AN88" s="63" t="s">
        <v>282</v>
      </c>
      <c r="AO88" s="38" t="s">
        <v>252</v>
      </c>
      <c r="AP88" s="155" t="s">
        <v>523</v>
      </c>
      <c r="AQ88" s="155" t="s">
        <v>323</v>
      </c>
      <c r="AR88" s="155" t="s">
        <v>323</v>
      </c>
      <c r="AS88" s="155" t="s">
        <v>323</v>
      </c>
      <c r="AT88" s="155" t="s">
        <v>323</v>
      </c>
      <c r="AU88" s="155" t="s">
        <v>323</v>
      </c>
      <c r="AV88" s="155" t="s">
        <v>323</v>
      </c>
      <c r="AW88" s="155" t="s">
        <v>323</v>
      </c>
      <c r="AX88" s="155" t="s">
        <v>323</v>
      </c>
      <c r="AY88" s="155" t="s">
        <v>323</v>
      </c>
      <c r="AZ88" s="63" t="s">
        <v>282</v>
      </c>
      <c r="BA88" s="63" t="s">
        <v>282</v>
      </c>
      <c r="BB88" s="63" t="s">
        <v>282</v>
      </c>
      <c r="BC88" s="38" t="s">
        <v>252</v>
      </c>
      <c r="BD88" s="155" t="s">
        <v>251</v>
      </c>
      <c r="BE88" s="155" t="s">
        <v>250</v>
      </c>
      <c r="BF88" s="8"/>
      <c r="BG88" s="53" t="s">
        <v>220</v>
      </c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</row>
    <row r="89" spans="1:70" ht="20" x14ac:dyDescent="0.2">
      <c r="A89" s="66" t="s">
        <v>524</v>
      </c>
      <c r="B89" s="155" t="s">
        <v>322</v>
      </c>
      <c r="C89" s="38" t="s">
        <v>252</v>
      </c>
      <c r="D89" s="38" t="s">
        <v>252</v>
      </c>
      <c r="E89" s="155" t="s">
        <v>496</v>
      </c>
      <c r="F89" s="155" t="s">
        <v>496</v>
      </c>
      <c r="G89" s="155" t="s">
        <v>496</v>
      </c>
      <c r="H89" s="155" t="s">
        <v>496</v>
      </c>
      <c r="I89" s="155" t="s">
        <v>496</v>
      </c>
      <c r="J89" s="155" t="s">
        <v>496</v>
      </c>
      <c r="K89" s="155" t="s">
        <v>496</v>
      </c>
      <c r="L89" s="63" t="s">
        <v>282</v>
      </c>
      <c r="M89" s="63" t="s">
        <v>282</v>
      </c>
      <c r="N89" s="63" t="s">
        <v>282</v>
      </c>
      <c r="O89" s="155" t="s">
        <v>250</v>
      </c>
      <c r="P89" s="38" t="s">
        <v>252</v>
      </c>
      <c r="Q89" s="155" t="s">
        <v>322</v>
      </c>
      <c r="R89" s="155" t="s">
        <v>496</v>
      </c>
      <c r="S89" s="155" t="s">
        <v>496</v>
      </c>
      <c r="T89" s="155" t="s">
        <v>496</v>
      </c>
      <c r="U89" s="155" t="s">
        <v>496</v>
      </c>
      <c r="V89" s="155" t="s">
        <v>496</v>
      </c>
      <c r="W89" s="155" t="s">
        <v>496</v>
      </c>
      <c r="X89" s="155" t="s">
        <v>496</v>
      </c>
      <c r="Y89" s="155" t="s">
        <v>496</v>
      </c>
      <c r="Z89" s="63" t="s">
        <v>282</v>
      </c>
      <c r="AA89" s="63" t="s">
        <v>282</v>
      </c>
      <c r="AB89" s="63" t="s">
        <v>282</v>
      </c>
      <c r="AC89" s="155" t="s">
        <v>250</v>
      </c>
      <c r="AD89" s="38" t="s">
        <v>252</v>
      </c>
      <c r="AE89" s="155" t="s">
        <v>496</v>
      </c>
      <c r="AF89" s="155" t="s">
        <v>496</v>
      </c>
      <c r="AG89" s="155" t="s">
        <v>496</v>
      </c>
      <c r="AH89" s="155" t="s">
        <v>496</v>
      </c>
      <c r="AI89" s="155" t="s">
        <v>496</v>
      </c>
      <c r="AJ89" s="63" t="s">
        <v>282</v>
      </c>
      <c r="AK89" s="63" t="s">
        <v>282</v>
      </c>
      <c r="AL89" s="59" t="s">
        <v>341</v>
      </c>
      <c r="AM89" s="38" t="s">
        <v>252</v>
      </c>
      <c r="AN89" s="38" t="s">
        <v>252</v>
      </c>
      <c r="AO89" s="38" t="s">
        <v>252</v>
      </c>
      <c r="AP89" s="155" t="s">
        <v>258</v>
      </c>
      <c r="AQ89" s="37" t="s">
        <v>269</v>
      </c>
      <c r="AR89" s="38" t="s">
        <v>252</v>
      </c>
      <c r="AS89" s="38" t="s">
        <v>252</v>
      </c>
      <c r="AT89" s="155" t="s">
        <v>322</v>
      </c>
      <c r="AU89" s="38" t="s">
        <v>252</v>
      </c>
      <c r="AV89" s="28" t="s">
        <v>243</v>
      </c>
      <c r="AW89" s="28" t="s">
        <v>243</v>
      </c>
      <c r="AX89" s="28" t="s">
        <v>243</v>
      </c>
      <c r="AY89" s="28" t="s">
        <v>243</v>
      </c>
      <c r="AZ89" s="38" t="s">
        <v>252</v>
      </c>
      <c r="BA89" s="59" t="s">
        <v>341</v>
      </c>
      <c r="BB89" s="38" t="s">
        <v>252</v>
      </c>
      <c r="BC89" s="155" t="s">
        <v>258</v>
      </c>
      <c r="BD89" s="155" t="s">
        <v>251</v>
      </c>
      <c r="BE89" s="155" t="s">
        <v>250</v>
      </c>
      <c r="BF89" s="154" t="s">
        <v>220</v>
      </c>
      <c r="BG89" s="53" t="s">
        <v>220</v>
      </c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</row>
    <row r="90" spans="1:70" ht="20" x14ac:dyDescent="0.2">
      <c r="A90" s="56" t="s">
        <v>525</v>
      </c>
      <c r="B90" s="38" t="s">
        <v>252</v>
      </c>
      <c r="C90" s="38" t="s">
        <v>252</v>
      </c>
      <c r="D90" s="38" t="s">
        <v>252</v>
      </c>
      <c r="E90" s="38" t="s">
        <v>252</v>
      </c>
      <c r="F90" s="28" t="s">
        <v>243</v>
      </c>
      <c r="G90" s="28" t="s">
        <v>243</v>
      </c>
      <c r="H90" s="28" t="s">
        <v>243</v>
      </c>
      <c r="I90" s="28" t="s">
        <v>243</v>
      </c>
      <c r="J90" s="38" t="s">
        <v>252</v>
      </c>
      <c r="K90" s="38" t="s">
        <v>252</v>
      </c>
      <c r="L90" s="38" t="s">
        <v>252</v>
      </c>
      <c r="M90" s="38" t="s">
        <v>252</v>
      </c>
      <c r="N90" s="59" t="s">
        <v>341</v>
      </c>
      <c r="O90" s="155" t="s">
        <v>250</v>
      </c>
      <c r="P90" s="155" t="s">
        <v>317</v>
      </c>
      <c r="Q90" s="155" t="s">
        <v>317</v>
      </c>
      <c r="R90" s="155" t="s">
        <v>317</v>
      </c>
      <c r="S90" s="155" t="s">
        <v>317</v>
      </c>
      <c r="T90" s="28" t="s">
        <v>243</v>
      </c>
      <c r="U90" s="28" t="s">
        <v>243</v>
      </c>
      <c r="V90" s="28" t="s">
        <v>243</v>
      </c>
      <c r="W90" s="28" t="s">
        <v>243</v>
      </c>
      <c r="X90" s="155" t="s">
        <v>317</v>
      </c>
      <c r="Y90" s="155" t="s">
        <v>317</v>
      </c>
      <c r="Z90" s="38" t="s">
        <v>337</v>
      </c>
      <c r="AA90" s="155" t="s">
        <v>317</v>
      </c>
      <c r="AB90" s="155" t="s">
        <v>317</v>
      </c>
      <c r="AC90" s="155" t="s">
        <v>250</v>
      </c>
      <c r="AD90" s="155" t="s">
        <v>317</v>
      </c>
      <c r="AE90" s="38" t="s">
        <v>252</v>
      </c>
      <c r="AF90" s="155" t="s">
        <v>317</v>
      </c>
      <c r="AG90" s="155" t="s">
        <v>317</v>
      </c>
      <c r="AH90" s="28" t="s">
        <v>243</v>
      </c>
      <c r="AI90" s="28" t="s">
        <v>243</v>
      </c>
      <c r="AJ90" s="28" t="s">
        <v>243</v>
      </c>
      <c r="AK90" s="28" t="s">
        <v>243</v>
      </c>
      <c r="AL90" s="155" t="s">
        <v>317</v>
      </c>
      <c r="AM90" s="155" t="s">
        <v>317</v>
      </c>
      <c r="AN90" s="59" t="s">
        <v>333</v>
      </c>
      <c r="AO90" s="155" t="s">
        <v>317</v>
      </c>
      <c r="AP90" s="155" t="s">
        <v>317</v>
      </c>
      <c r="AQ90" s="37" t="s">
        <v>269</v>
      </c>
      <c r="AR90" s="155" t="s">
        <v>317</v>
      </c>
      <c r="AS90" s="38" t="s">
        <v>252</v>
      </c>
      <c r="AT90" s="155" t="s">
        <v>317</v>
      </c>
      <c r="AU90" s="155" t="s">
        <v>317</v>
      </c>
      <c r="AV90" s="28" t="s">
        <v>243</v>
      </c>
      <c r="AW90" s="28" t="s">
        <v>243</v>
      </c>
      <c r="AX90" s="28" t="s">
        <v>243</v>
      </c>
      <c r="AY90" s="28" t="s">
        <v>243</v>
      </c>
      <c r="AZ90" s="155" t="s">
        <v>317</v>
      </c>
      <c r="BA90" s="155" t="s">
        <v>317</v>
      </c>
      <c r="BB90" s="38" t="s">
        <v>337</v>
      </c>
      <c r="BC90" s="38" t="s">
        <v>252</v>
      </c>
      <c r="BD90" s="155" t="s">
        <v>251</v>
      </c>
      <c r="BE90" s="155" t="s">
        <v>250</v>
      </c>
      <c r="BF90" s="29" t="s">
        <v>526</v>
      </c>
      <c r="BG90" s="53" t="s">
        <v>220</v>
      </c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</row>
    <row r="91" spans="1:70" ht="20" x14ac:dyDescent="0.2">
      <c r="A91" s="56" t="s">
        <v>527</v>
      </c>
      <c r="B91" s="38" t="s">
        <v>252</v>
      </c>
      <c r="C91" s="155" t="s">
        <v>417</v>
      </c>
      <c r="D91" s="155" t="s">
        <v>417</v>
      </c>
      <c r="E91" s="38" t="s">
        <v>252</v>
      </c>
      <c r="F91" s="28" t="s">
        <v>243</v>
      </c>
      <c r="G91" s="28" t="s">
        <v>243</v>
      </c>
      <c r="H91" s="28" t="s">
        <v>243</v>
      </c>
      <c r="I91" s="28" t="s">
        <v>243</v>
      </c>
      <c r="J91" s="38" t="s">
        <v>252</v>
      </c>
      <c r="K91" s="155" t="s">
        <v>417</v>
      </c>
      <c r="L91" s="38" t="s">
        <v>252</v>
      </c>
      <c r="M91" s="155" t="s">
        <v>417</v>
      </c>
      <c r="N91" s="155" t="s">
        <v>417</v>
      </c>
      <c r="O91" s="155" t="s">
        <v>250</v>
      </c>
      <c r="P91" s="155" t="s">
        <v>417</v>
      </c>
      <c r="Q91" s="38" t="s">
        <v>252</v>
      </c>
      <c r="R91" s="38" t="s">
        <v>252</v>
      </c>
      <c r="S91" s="155" t="s">
        <v>417</v>
      </c>
      <c r="T91" s="28" t="s">
        <v>243</v>
      </c>
      <c r="U91" s="28" t="s">
        <v>243</v>
      </c>
      <c r="V91" s="28" t="s">
        <v>243</v>
      </c>
      <c r="W91" s="28" t="s">
        <v>243</v>
      </c>
      <c r="X91" s="38" t="s">
        <v>252</v>
      </c>
      <c r="Y91" s="155" t="s">
        <v>417</v>
      </c>
      <c r="Z91" s="38" t="s">
        <v>252</v>
      </c>
      <c r="AA91" s="155" t="s">
        <v>417</v>
      </c>
      <c r="AB91" s="155" t="s">
        <v>417</v>
      </c>
      <c r="AC91" s="155" t="s">
        <v>250</v>
      </c>
      <c r="AD91" s="155" t="s">
        <v>417</v>
      </c>
      <c r="AE91" s="38" t="s">
        <v>252</v>
      </c>
      <c r="AF91" s="155" t="s">
        <v>417</v>
      </c>
      <c r="AG91" s="38" t="s">
        <v>252</v>
      </c>
      <c r="AH91" s="28" t="s">
        <v>243</v>
      </c>
      <c r="AI91" s="28" t="s">
        <v>243</v>
      </c>
      <c r="AJ91" s="28" t="s">
        <v>243</v>
      </c>
      <c r="AK91" s="28" t="s">
        <v>243</v>
      </c>
      <c r="AL91" s="38" t="s">
        <v>252</v>
      </c>
      <c r="AM91" s="155" t="s">
        <v>417</v>
      </c>
      <c r="AN91" s="38" t="s">
        <v>252</v>
      </c>
      <c r="AO91" s="155" t="s">
        <v>417</v>
      </c>
      <c r="AP91" s="155" t="s">
        <v>417</v>
      </c>
      <c r="AQ91" s="37" t="s">
        <v>269</v>
      </c>
      <c r="AR91" s="155" t="s">
        <v>417</v>
      </c>
      <c r="AS91" s="38" t="s">
        <v>252</v>
      </c>
      <c r="AT91" s="38" t="s">
        <v>252</v>
      </c>
      <c r="AU91" s="59" t="s">
        <v>341</v>
      </c>
      <c r="AV91" s="28" t="s">
        <v>243</v>
      </c>
      <c r="AW91" s="28" t="s">
        <v>243</v>
      </c>
      <c r="AX91" s="28" t="s">
        <v>243</v>
      </c>
      <c r="AY91" s="28" t="s">
        <v>243</v>
      </c>
      <c r="AZ91" s="38" t="s">
        <v>252</v>
      </c>
      <c r="BA91" s="155" t="s">
        <v>417</v>
      </c>
      <c r="BB91" s="38" t="s">
        <v>252</v>
      </c>
      <c r="BC91" s="155" t="s">
        <v>417</v>
      </c>
      <c r="BD91" s="155" t="s">
        <v>251</v>
      </c>
      <c r="BE91" s="155" t="s">
        <v>250</v>
      </c>
      <c r="BF91" s="55" t="s">
        <v>528</v>
      </c>
      <c r="BG91" s="53" t="s">
        <v>220</v>
      </c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</row>
    <row r="92" spans="1:70" ht="20" x14ac:dyDescent="0.2">
      <c r="A92" s="56" t="s">
        <v>529</v>
      </c>
      <c r="B92" s="155" t="s">
        <v>322</v>
      </c>
      <c r="C92" s="60" t="s">
        <v>318</v>
      </c>
      <c r="D92" s="155" t="s">
        <v>69</v>
      </c>
      <c r="E92" s="38" t="s">
        <v>252</v>
      </c>
      <c r="F92" s="28" t="s">
        <v>243</v>
      </c>
      <c r="G92" s="28" t="s">
        <v>243</v>
      </c>
      <c r="H92" s="28" t="s">
        <v>243</v>
      </c>
      <c r="I92" s="28" t="s">
        <v>243</v>
      </c>
      <c r="J92" s="38" t="s">
        <v>252</v>
      </c>
      <c r="K92" s="155" t="s">
        <v>69</v>
      </c>
      <c r="L92" s="38" t="s">
        <v>252</v>
      </c>
      <c r="M92" s="60" t="s">
        <v>310</v>
      </c>
      <c r="N92" s="155" t="s">
        <v>530</v>
      </c>
      <c r="O92" s="155" t="s">
        <v>250</v>
      </c>
      <c r="P92" s="60" t="s">
        <v>310</v>
      </c>
      <c r="Q92" s="155" t="s">
        <v>69</v>
      </c>
      <c r="R92" s="60" t="s">
        <v>518</v>
      </c>
      <c r="S92" s="38" t="s">
        <v>252</v>
      </c>
      <c r="T92" s="28" t="s">
        <v>243</v>
      </c>
      <c r="U92" s="28" t="s">
        <v>243</v>
      </c>
      <c r="V92" s="28" t="s">
        <v>243</v>
      </c>
      <c r="W92" s="28" t="s">
        <v>243</v>
      </c>
      <c r="X92" s="38" t="s">
        <v>252</v>
      </c>
      <c r="Y92" s="38" t="s">
        <v>252</v>
      </c>
      <c r="Z92" s="155" t="s">
        <v>69</v>
      </c>
      <c r="AA92" s="60" t="s">
        <v>310</v>
      </c>
      <c r="AB92" s="155" t="s">
        <v>530</v>
      </c>
      <c r="AC92" s="155" t="s">
        <v>250</v>
      </c>
      <c r="AD92" s="60" t="s">
        <v>310</v>
      </c>
      <c r="AE92" s="155" t="s">
        <v>69</v>
      </c>
      <c r="AF92" s="60" t="s">
        <v>321</v>
      </c>
      <c r="AG92" s="38" t="s">
        <v>252</v>
      </c>
      <c r="AH92" s="28" t="s">
        <v>243</v>
      </c>
      <c r="AI92" s="28" t="s">
        <v>243</v>
      </c>
      <c r="AJ92" s="28" t="s">
        <v>243</v>
      </c>
      <c r="AK92" s="28" t="s">
        <v>243</v>
      </c>
      <c r="AL92" s="60" t="s">
        <v>310</v>
      </c>
      <c r="AM92" s="155" t="s">
        <v>69</v>
      </c>
      <c r="AN92" s="38" t="s">
        <v>252</v>
      </c>
      <c r="AO92" s="38" t="s">
        <v>252</v>
      </c>
      <c r="AP92" s="155" t="s">
        <v>530</v>
      </c>
      <c r="AQ92" s="37" t="s">
        <v>269</v>
      </c>
      <c r="AR92" s="60" t="s">
        <v>321</v>
      </c>
      <c r="AS92" s="155" t="s">
        <v>69</v>
      </c>
      <c r="AT92" s="59" t="s">
        <v>341</v>
      </c>
      <c r="AU92" s="38" t="s">
        <v>252</v>
      </c>
      <c r="AV92" s="28" t="s">
        <v>243</v>
      </c>
      <c r="AW92" s="28" t="s">
        <v>243</v>
      </c>
      <c r="AX92" s="28" t="s">
        <v>243</v>
      </c>
      <c r="AY92" s="28" t="s">
        <v>243</v>
      </c>
      <c r="AZ92" s="38" t="s">
        <v>252</v>
      </c>
      <c r="BA92" s="155" t="s">
        <v>69</v>
      </c>
      <c r="BB92" s="38" t="s">
        <v>252</v>
      </c>
      <c r="BC92" s="60" t="s">
        <v>518</v>
      </c>
      <c r="BD92" s="155" t="s">
        <v>251</v>
      </c>
      <c r="BE92" s="155" t="s">
        <v>250</v>
      </c>
      <c r="BF92" s="55" t="s">
        <v>531</v>
      </c>
      <c r="BG92" s="53" t="s">
        <v>220</v>
      </c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</row>
    <row r="93" spans="1:70" ht="20" x14ac:dyDescent="0.2">
      <c r="A93" s="66" t="s">
        <v>532</v>
      </c>
      <c r="B93" s="155" t="s">
        <v>349</v>
      </c>
      <c r="C93" s="38" t="s">
        <v>252</v>
      </c>
      <c r="D93" s="60" t="s">
        <v>518</v>
      </c>
      <c r="E93" s="38" t="s">
        <v>252</v>
      </c>
      <c r="F93" s="28" t="s">
        <v>243</v>
      </c>
      <c r="G93" s="28" t="s">
        <v>243</v>
      </c>
      <c r="H93" s="28" t="s">
        <v>243</v>
      </c>
      <c r="I93" s="28" t="s">
        <v>243</v>
      </c>
      <c r="J93" s="155" t="s">
        <v>349</v>
      </c>
      <c r="K93" s="155" t="s">
        <v>349</v>
      </c>
      <c r="L93" s="155" t="s">
        <v>349</v>
      </c>
      <c r="M93" s="38" t="s">
        <v>252</v>
      </c>
      <c r="N93" s="155" t="s">
        <v>349</v>
      </c>
      <c r="O93" s="155" t="s">
        <v>250</v>
      </c>
      <c r="P93" s="155" t="s">
        <v>349</v>
      </c>
      <c r="Q93" s="38" t="s">
        <v>252</v>
      </c>
      <c r="R93" s="38" t="s">
        <v>252</v>
      </c>
      <c r="S93" s="38" t="s">
        <v>252</v>
      </c>
      <c r="T93" s="28" t="s">
        <v>243</v>
      </c>
      <c r="U93" s="28" t="s">
        <v>243</v>
      </c>
      <c r="V93" s="28" t="s">
        <v>243</v>
      </c>
      <c r="W93" s="28" t="s">
        <v>243</v>
      </c>
      <c r="X93" s="155" t="s">
        <v>349</v>
      </c>
      <c r="Y93" s="155" t="s">
        <v>349</v>
      </c>
      <c r="Z93" s="155" t="s">
        <v>349</v>
      </c>
      <c r="AA93" s="38" t="s">
        <v>252</v>
      </c>
      <c r="AB93" s="155" t="s">
        <v>349</v>
      </c>
      <c r="AC93" s="155" t="s">
        <v>250</v>
      </c>
      <c r="AD93" s="155" t="s">
        <v>349</v>
      </c>
      <c r="AE93" s="38" t="s">
        <v>252</v>
      </c>
      <c r="AF93" s="60" t="s">
        <v>518</v>
      </c>
      <c r="AG93" s="38" t="s">
        <v>252</v>
      </c>
      <c r="AH93" s="28" t="s">
        <v>243</v>
      </c>
      <c r="AI93" s="28" t="s">
        <v>243</v>
      </c>
      <c r="AJ93" s="28" t="s">
        <v>243</v>
      </c>
      <c r="AK93" s="28" t="s">
        <v>243</v>
      </c>
      <c r="AL93" s="155" t="s">
        <v>349</v>
      </c>
      <c r="AM93" s="155" t="s">
        <v>349</v>
      </c>
      <c r="AN93" s="155" t="s">
        <v>349</v>
      </c>
      <c r="AO93" s="38" t="s">
        <v>252</v>
      </c>
      <c r="AP93" s="155" t="s">
        <v>349</v>
      </c>
      <c r="AQ93" s="37" t="s">
        <v>269</v>
      </c>
      <c r="AR93" s="155" t="s">
        <v>349</v>
      </c>
      <c r="AS93" s="38" t="s">
        <v>252</v>
      </c>
      <c r="AT93" s="38" t="s">
        <v>252</v>
      </c>
      <c r="AU93" s="38" t="s">
        <v>252</v>
      </c>
      <c r="AV93" s="28" t="s">
        <v>243</v>
      </c>
      <c r="AW93" s="28" t="s">
        <v>243</v>
      </c>
      <c r="AX93" s="28" t="s">
        <v>243</v>
      </c>
      <c r="AY93" s="28" t="s">
        <v>243</v>
      </c>
      <c r="AZ93" s="155" t="s">
        <v>349</v>
      </c>
      <c r="BA93" s="155" t="s">
        <v>349</v>
      </c>
      <c r="BB93" s="155" t="s">
        <v>349</v>
      </c>
      <c r="BC93" s="38" t="s">
        <v>252</v>
      </c>
      <c r="BD93" s="155" t="s">
        <v>251</v>
      </c>
      <c r="BE93" s="155" t="s">
        <v>250</v>
      </c>
      <c r="BF93" s="55" t="s">
        <v>38</v>
      </c>
      <c r="BG93" s="53" t="s">
        <v>220</v>
      </c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</row>
    <row r="94" spans="1:70" ht="20" x14ac:dyDescent="0.2">
      <c r="A94" s="56" t="s">
        <v>533</v>
      </c>
      <c r="B94" s="155" t="s">
        <v>343</v>
      </c>
      <c r="C94" s="155" t="s">
        <v>331</v>
      </c>
      <c r="D94" s="155" t="s">
        <v>343</v>
      </c>
      <c r="E94" s="38" t="s">
        <v>252</v>
      </c>
      <c r="F94" s="28" t="s">
        <v>243</v>
      </c>
      <c r="G94" s="28" t="s">
        <v>243</v>
      </c>
      <c r="H94" s="28" t="s">
        <v>243</v>
      </c>
      <c r="I94" s="28" t="s">
        <v>243</v>
      </c>
      <c r="J94" s="60" t="s">
        <v>518</v>
      </c>
      <c r="K94" s="38" t="s">
        <v>252</v>
      </c>
      <c r="L94" s="155" t="s">
        <v>343</v>
      </c>
      <c r="M94" s="60" t="s">
        <v>318</v>
      </c>
      <c r="N94" s="38" t="s">
        <v>252</v>
      </c>
      <c r="O94" s="155" t="s">
        <v>250</v>
      </c>
      <c r="P94" s="155" t="s">
        <v>343</v>
      </c>
      <c r="Q94" s="60" t="s">
        <v>518</v>
      </c>
      <c r="R94" s="155" t="s">
        <v>343</v>
      </c>
      <c r="S94" s="155" t="s">
        <v>520</v>
      </c>
      <c r="T94" s="28" t="s">
        <v>243</v>
      </c>
      <c r="U94" s="28" t="s">
        <v>243</v>
      </c>
      <c r="V94" s="28" t="s">
        <v>243</v>
      </c>
      <c r="W94" s="28" t="s">
        <v>243</v>
      </c>
      <c r="X94" s="60" t="s">
        <v>518</v>
      </c>
      <c r="Y94" s="38" t="s">
        <v>252</v>
      </c>
      <c r="Z94" s="155" t="s">
        <v>343</v>
      </c>
      <c r="AA94" s="38" t="s">
        <v>252</v>
      </c>
      <c r="AB94" s="38" t="s">
        <v>252</v>
      </c>
      <c r="AC94" s="155" t="s">
        <v>250</v>
      </c>
      <c r="AD94" s="155" t="s">
        <v>343</v>
      </c>
      <c r="AE94" s="60" t="s">
        <v>518</v>
      </c>
      <c r="AF94" s="155" t="s">
        <v>343</v>
      </c>
      <c r="AG94" s="155" t="s">
        <v>520</v>
      </c>
      <c r="AH94" s="28" t="s">
        <v>243</v>
      </c>
      <c r="AI94" s="28" t="s">
        <v>243</v>
      </c>
      <c r="AJ94" s="28" t="s">
        <v>243</v>
      </c>
      <c r="AK94" s="28" t="s">
        <v>243</v>
      </c>
      <c r="AL94" s="60" t="s">
        <v>321</v>
      </c>
      <c r="AM94" s="38" t="s">
        <v>252</v>
      </c>
      <c r="AN94" s="155" t="s">
        <v>343</v>
      </c>
      <c r="AO94" s="38" t="s">
        <v>252</v>
      </c>
      <c r="AP94" s="38" t="s">
        <v>252</v>
      </c>
      <c r="AQ94" s="37" t="s">
        <v>269</v>
      </c>
      <c r="AR94" s="155" t="s">
        <v>343</v>
      </c>
      <c r="AS94" s="38" t="s">
        <v>252</v>
      </c>
      <c r="AT94" s="155" t="s">
        <v>343</v>
      </c>
      <c r="AU94" s="155" t="s">
        <v>520</v>
      </c>
      <c r="AV94" s="28" t="s">
        <v>243</v>
      </c>
      <c r="AW94" s="28" t="s">
        <v>243</v>
      </c>
      <c r="AX94" s="28" t="s">
        <v>243</v>
      </c>
      <c r="AY94" s="28" t="s">
        <v>243</v>
      </c>
      <c r="AZ94" s="38" t="s">
        <v>252</v>
      </c>
      <c r="BA94" s="60" t="s">
        <v>321</v>
      </c>
      <c r="BB94" s="155" t="s">
        <v>343</v>
      </c>
      <c r="BC94" s="38" t="s">
        <v>252</v>
      </c>
      <c r="BD94" s="155" t="s">
        <v>251</v>
      </c>
      <c r="BE94" s="155" t="s">
        <v>250</v>
      </c>
      <c r="BF94" s="55" t="s">
        <v>427</v>
      </c>
      <c r="BG94" s="53" t="s">
        <v>220</v>
      </c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</row>
    <row r="95" spans="1:70" ht="20" x14ac:dyDescent="0.2">
      <c r="A95" s="66" t="s">
        <v>534</v>
      </c>
      <c r="B95" s="155" t="s">
        <v>515</v>
      </c>
      <c r="C95" s="38" t="s">
        <v>252</v>
      </c>
      <c r="D95" s="155" t="s">
        <v>515</v>
      </c>
      <c r="E95" s="38" t="s">
        <v>252</v>
      </c>
      <c r="F95" s="28" t="s">
        <v>243</v>
      </c>
      <c r="G95" s="28" t="s">
        <v>243</v>
      </c>
      <c r="H95" s="28" t="s">
        <v>243</v>
      </c>
      <c r="I95" s="28" t="s">
        <v>243</v>
      </c>
      <c r="J95" s="155" t="s">
        <v>515</v>
      </c>
      <c r="K95" s="38" t="s">
        <v>252</v>
      </c>
      <c r="L95" s="60" t="s">
        <v>310</v>
      </c>
      <c r="M95" s="155" t="s">
        <v>515</v>
      </c>
      <c r="N95" s="155" t="s">
        <v>515</v>
      </c>
      <c r="O95" s="155" t="s">
        <v>250</v>
      </c>
      <c r="P95" s="38" t="s">
        <v>252</v>
      </c>
      <c r="Q95" s="155" t="s">
        <v>515</v>
      </c>
      <c r="R95" s="155" t="s">
        <v>515</v>
      </c>
      <c r="S95" s="38" t="s">
        <v>252</v>
      </c>
      <c r="T95" s="28" t="s">
        <v>243</v>
      </c>
      <c r="U95" s="28" t="s">
        <v>243</v>
      </c>
      <c r="V95" s="28" t="s">
        <v>243</v>
      </c>
      <c r="W95" s="28" t="s">
        <v>243</v>
      </c>
      <c r="X95" s="155" t="s">
        <v>515</v>
      </c>
      <c r="Y95" s="38" t="s">
        <v>252</v>
      </c>
      <c r="Z95" s="60" t="s">
        <v>310</v>
      </c>
      <c r="AA95" s="155" t="s">
        <v>515</v>
      </c>
      <c r="AB95" s="155" t="s">
        <v>515</v>
      </c>
      <c r="AC95" s="155" t="s">
        <v>250</v>
      </c>
      <c r="AD95" s="38" t="s">
        <v>252</v>
      </c>
      <c r="AE95" s="155" t="s">
        <v>515</v>
      </c>
      <c r="AF95" s="155" t="s">
        <v>515</v>
      </c>
      <c r="AG95" s="38" t="s">
        <v>252</v>
      </c>
      <c r="AH95" s="28" t="s">
        <v>243</v>
      </c>
      <c r="AI95" s="28" t="s">
        <v>243</v>
      </c>
      <c r="AJ95" s="28" t="s">
        <v>243</v>
      </c>
      <c r="AK95" s="28" t="s">
        <v>243</v>
      </c>
      <c r="AL95" s="155" t="s">
        <v>515</v>
      </c>
      <c r="AM95" s="38" t="s">
        <v>252</v>
      </c>
      <c r="AN95" s="60" t="s">
        <v>310</v>
      </c>
      <c r="AO95" s="155" t="s">
        <v>515</v>
      </c>
      <c r="AP95" s="155" t="s">
        <v>515</v>
      </c>
      <c r="AQ95" s="37" t="s">
        <v>269</v>
      </c>
      <c r="AR95" s="38" t="s">
        <v>252</v>
      </c>
      <c r="AS95" s="155" t="s">
        <v>515</v>
      </c>
      <c r="AT95" s="59" t="s">
        <v>341</v>
      </c>
      <c r="AU95" s="38" t="s">
        <v>252</v>
      </c>
      <c r="AV95" s="28" t="s">
        <v>243</v>
      </c>
      <c r="AW95" s="28" t="s">
        <v>243</v>
      </c>
      <c r="AX95" s="28" t="s">
        <v>243</v>
      </c>
      <c r="AY95" s="28" t="s">
        <v>243</v>
      </c>
      <c r="AZ95" s="38" t="s">
        <v>252</v>
      </c>
      <c r="BA95" s="38" t="s">
        <v>252</v>
      </c>
      <c r="BB95" s="60" t="s">
        <v>310</v>
      </c>
      <c r="BC95" s="155" t="s">
        <v>515</v>
      </c>
      <c r="BD95" s="155" t="s">
        <v>251</v>
      </c>
      <c r="BE95" s="155" t="s">
        <v>250</v>
      </c>
      <c r="BF95" s="55" t="s">
        <v>521</v>
      </c>
      <c r="BG95" s="53" t="s">
        <v>220</v>
      </c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</row>
    <row r="96" spans="1:70" ht="20" x14ac:dyDescent="0.2">
      <c r="A96" s="56" t="s">
        <v>533</v>
      </c>
      <c r="B96" s="155" t="s">
        <v>343</v>
      </c>
      <c r="C96" s="155" t="s">
        <v>331</v>
      </c>
      <c r="D96" s="155" t="s">
        <v>343</v>
      </c>
      <c r="E96" s="38" t="s">
        <v>252</v>
      </c>
      <c r="F96" s="28" t="s">
        <v>243</v>
      </c>
      <c r="G96" s="28" t="s">
        <v>243</v>
      </c>
      <c r="H96" s="28" t="s">
        <v>243</v>
      </c>
      <c r="I96" s="28" t="s">
        <v>243</v>
      </c>
      <c r="J96" s="60" t="s">
        <v>518</v>
      </c>
      <c r="K96" s="38" t="s">
        <v>252</v>
      </c>
      <c r="L96" s="155" t="s">
        <v>343</v>
      </c>
      <c r="M96" s="60" t="s">
        <v>318</v>
      </c>
      <c r="N96" s="38" t="s">
        <v>252</v>
      </c>
      <c r="O96" s="155" t="s">
        <v>250</v>
      </c>
      <c r="P96" s="155" t="s">
        <v>343</v>
      </c>
      <c r="Q96" s="60" t="s">
        <v>518</v>
      </c>
      <c r="R96" s="155" t="s">
        <v>343</v>
      </c>
      <c r="S96" s="155" t="s">
        <v>520</v>
      </c>
      <c r="T96" s="28" t="s">
        <v>243</v>
      </c>
      <c r="U96" s="28" t="s">
        <v>243</v>
      </c>
      <c r="V96" s="28" t="s">
        <v>243</v>
      </c>
      <c r="W96" s="28" t="s">
        <v>243</v>
      </c>
      <c r="X96" s="60" t="s">
        <v>518</v>
      </c>
      <c r="Y96" s="38" t="s">
        <v>252</v>
      </c>
      <c r="Z96" s="155" t="s">
        <v>343</v>
      </c>
      <c r="AA96" s="38" t="s">
        <v>252</v>
      </c>
      <c r="AB96" s="38" t="s">
        <v>252</v>
      </c>
      <c r="AC96" s="155" t="s">
        <v>250</v>
      </c>
      <c r="AD96" s="155" t="s">
        <v>343</v>
      </c>
      <c r="AE96" s="60" t="s">
        <v>518</v>
      </c>
      <c r="AF96" s="155" t="s">
        <v>343</v>
      </c>
      <c r="AG96" s="155" t="s">
        <v>520</v>
      </c>
      <c r="AH96" s="28" t="s">
        <v>243</v>
      </c>
      <c r="AI96" s="28" t="s">
        <v>243</v>
      </c>
      <c r="AJ96" s="28" t="s">
        <v>243</v>
      </c>
      <c r="AK96" s="28" t="s">
        <v>243</v>
      </c>
      <c r="AL96" s="60" t="s">
        <v>321</v>
      </c>
      <c r="AM96" s="38" t="s">
        <v>252</v>
      </c>
      <c r="AN96" s="155" t="s">
        <v>343</v>
      </c>
      <c r="AO96" s="38" t="s">
        <v>252</v>
      </c>
      <c r="AP96" s="38" t="s">
        <v>252</v>
      </c>
      <c r="AQ96" s="37" t="s">
        <v>269</v>
      </c>
      <c r="AR96" s="155" t="s">
        <v>343</v>
      </c>
      <c r="AS96" s="38" t="s">
        <v>252</v>
      </c>
      <c r="AT96" s="155" t="s">
        <v>343</v>
      </c>
      <c r="AU96" s="155" t="s">
        <v>520</v>
      </c>
      <c r="AV96" s="28" t="s">
        <v>243</v>
      </c>
      <c r="AW96" s="28" t="s">
        <v>243</v>
      </c>
      <c r="AX96" s="28" t="s">
        <v>243</v>
      </c>
      <c r="AY96" s="28" t="s">
        <v>243</v>
      </c>
      <c r="AZ96" s="38" t="s">
        <v>252</v>
      </c>
      <c r="BA96" s="60" t="s">
        <v>321</v>
      </c>
      <c r="BB96" s="155" t="s">
        <v>343</v>
      </c>
      <c r="BC96" s="38" t="s">
        <v>252</v>
      </c>
      <c r="BD96" s="155" t="s">
        <v>251</v>
      </c>
      <c r="BE96" s="155" t="s">
        <v>250</v>
      </c>
      <c r="BF96" s="55" t="s">
        <v>535</v>
      </c>
      <c r="BG96" s="53" t="s">
        <v>220</v>
      </c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</row>
    <row r="97" spans="1:70" ht="20" x14ac:dyDescent="0.2">
      <c r="A97" s="66" t="s">
        <v>536</v>
      </c>
      <c r="B97" s="155" t="s">
        <v>81</v>
      </c>
      <c r="C97" s="155" t="s">
        <v>268</v>
      </c>
      <c r="D97" s="155" t="s">
        <v>81</v>
      </c>
      <c r="E97" s="38" t="s">
        <v>252</v>
      </c>
      <c r="F97" s="28" t="s">
        <v>243</v>
      </c>
      <c r="G97" s="28" t="s">
        <v>243</v>
      </c>
      <c r="H97" s="28" t="s">
        <v>243</v>
      </c>
      <c r="I97" s="28" t="s">
        <v>243</v>
      </c>
      <c r="J97" s="155" t="s">
        <v>81</v>
      </c>
      <c r="K97" s="38" t="s">
        <v>252</v>
      </c>
      <c r="L97" s="155" t="s">
        <v>81</v>
      </c>
      <c r="M97" s="155" t="s">
        <v>278</v>
      </c>
      <c r="N97" s="155" t="s">
        <v>275</v>
      </c>
      <c r="O97" s="155" t="s">
        <v>250</v>
      </c>
      <c r="P97" s="59" t="s">
        <v>341</v>
      </c>
      <c r="Q97" s="155" t="s">
        <v>268</v>
      </c>
      <c r="R97" s="155" t="s">
        <v>81</v>
      </c>
      <c r="S97" s="38" t="s">
        <v>252</v>
      </c>
      <c r="T97" s="28" t="s">
        <v>243</v>
      </c>
      <c r="U97" s="28" t="s">
        <v>243</v>
      </c>
      <c r="V97" s="28" t="s">
        <v>243</v>
      </c>
      <c r="W97" s="28" t="s">
        <v>243</v>
      </c>
      <c r="X97" s="38" t="s">
        <v>252</v>
      </c>
      <c r="Y97" s="38" t="s">
        <v>252</v>
      </c>
      <c r="Z97" s="155" t="s">
        <v>81</v>
      </c>
      <c r="AA97" s="155" t="s">
        <v>278</v>
      </c>
      <c r="AB97" s="155" t="s">
        <v>275</v>
      </c>
      <c r="AC97" s="155" t="s">
        <v>250</v>
      </c>
      <c r="AD97" s="155" t="s">
        <v>81</v>
      </c>
      <c r="AE97" s="155" t="s">
        <v>268</v>
      </c>
      <c r="AF97" s="155" t="s">
        <v>81</v>
      </c>
      <c r="AG97" s="38" t="s">
        <v>252</v>
      </c>
      <c r="AH97" s="28" t="s">
        <v>243</v>
      </c>
      <c r="AI97" s="28" t="s">
        <v>243</v>
      </c>
      <c r="AJ97" s="28" t="s">
        <v>243</v>
      </c>
      <c r="AK97" s="28" t="s">
        <v>243</v>
      </c>
      <c r="AL97" s="38" t="s">
        <v>252</v>
      </c>
      <c r="AM97" s="155" t="s">
        <v>273</v>
      </c>
      <c r="AN97" s="155" t="s">
        <v>81</v>
      </c>
      <c r="AO97" s="155" t="s">
        <v>278</v>
      </c>
      <c r="AP97" s="155" t="s">
        <v>275</v>
      </c>
      <c r="AQ97" s="37" t="s">
        <v>269</v>
      </c>
      <c r="AR97" s="155" t="s">
        <v>81</v>
      </c>
      <c r="AS97" s="155" t="s">
        <v>268</v>
      </c>
      <c r="AT97" s="155" t="s">
        <v>81</v>
      </c>
      <c r="AU97" s="38" t="s">
        <v>252</v>
      </c>
      <c r="AV97" s="28" t="s">
        <v>243</v>
      </c>
      <c r="AW97" s="28" t="s">
        <v>243</v>
      </c>
      <c r="AX97" s="28" t="s">
        <v>243</v>
      </c>
      <c r="AY97" s="28" t="s">
        <v>243</v>
      </c>
      <c r="AZ97" s="38" t="s">
        <v>252</v>
      </c>
      <c r="BA97" s="59" t="s">
        <v>341</v>
      </c>
      <c r="BB97" s="155" t="s">
        <v>81</v>
      </c>
      <c r="BC97" s="155" t="s">
        <v>278</v>
      </c>
      <c r="BD97" s="155" t="s">
        <v>251</v>
      </c>
      <c r="BE97" s="155" t="s">
        <v>250</v>
      </c>
      <c r="BF97" s="55" t="s">
        <v>521</v>
      </c>
      <c r="BG97" s="53" t="s">
        <v>220</v>
      </c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</row>
    <row r="98" spans="1:70" ht="20" x14ac:dyDescent="0.2">
      <c r="A98" s="66" t="s">
        <v>537</v>
      </c>
      <c r="B98" s="155" t="s">
        <v>81</v>
      </c>
      <c r="C98" s="155" t="s">
        <v>268</v>
      </c>
      <c r="D98" s="155" t="s">
        <v>81</v>
      </c>
      <c r="E98" s="38" t="s">
        <v>252</v>
      </c>
      <c r="F98" s="28" t="s">
        <v>243</v>
      </c>
      <c r="G98" s="28" t="s">
        <v>243</v>
      </c>
      <c r="H98" s="28" t="s">
        <v>243</v>
      </c>
      <c r="I98" s="28" t="s">
        <v>243</v>
      </c>
      <c r="J98" s="155" t="s">
        <v>81</v>
      </c>
      <c r="K98" s="38" t="s">
        <v>252</v>
      </c>
      <c r="L98" s="155" t="s">
        <v>81</v>
      </c>
      <c r="M98" s="155" t="s">
        <v>278</v>
      </c>
      <c r="N98" s="155" t="s">
        <v>275</v>
      </c>
      <c r="O98" s="155" t="s">
        <v>250</v>
      </c>
      <c r="P98" s="59" t="s">
        <v>341</v>
      </c>
      <c r="Q98" s="155" t="s">
        <v>268</v>
      </c>
      <c r="R98" s="155" t="s">
        <v>81</v>
      </c>
      <c r="S98" s="38" t="s">
        <v>252</v>
      </c>
      <c r="T98" s="28" t="s">
        <v>243</v>
      </c>
      <c r="U98" s="28" t="s">
        <v>243</v>
      </c>
      <c r="V98" s="28" t="s">
        <v>243</v>
      </c>
      <c r="W98" s="28" t="s">
        <v>243</v>
      </c>
      <c r="X98" s="38" t="s">
        <v>252</v>
      </c>
      <c r="Y98" s="38" t="s">
        <v>252</v>
      </c>
      <c r="Z98" s="155" t="s">
        <v>81</v>
      </c>
      <c r="AA98" s="155" t="s">
        <v>278</v>
      </c>
      <c r="AB98" s="155" t="s">
        <v>275</v>
      </c>
      <c r="AC98" s="155" t="s">
        <v>250</v>
      </c>
      <c r="AD98" s="155" t="s">
        <v>81</v>
      </c>
      <c r="AE98" s="155" t="s">
        <v>268</v>
      </c>
      <c r="AF98" s="155" t="s">
        <v>81</v>
      </c>
      <c r="AG98" s="38" t="s">
        <v>252</v>
      </c>
      <c r="AH98" s="28" t="s">
        <v>243</v>
      </c>
      <c r="AI98" s="28" t="s">
        <v>243</v>
      </c>
      <c r="AJ98" s="28" t="s">
        <v>243</v>
      </c>
      <c r="AK98" s="28" t="s">
        <v>243</v>
      </c>
      <c r="AL98" s="38" t="s">
        <v>252</v>
      </c>
      <c r="AM98" s="155" t="s">
        <v>273</v>
      </c>
      <c r="AN98" s="155" t="s">
        <v>81</v>
      </c>
      <c r="AO98" s="155" t="s">
        <v>278</v>
      </c>
      <c r="AP98" s="155" t="s">
        <v>275</v>
      </c>
      <c r="AQ98" s="37" t="s">
        <v>269</v>
      </c>
      <c r="AR98" s="155" t="s">
        <v>81</v>
      </c>
      <c r="AS98" s="155" t="s">
        <v>268</v>
      </c>
      <c r="AT98" s="155" t="s">
        <v>81</v>
      </c>
      <c r="AU98" s="38" t="s">
        <v>252</v>
      </c>
      <c r="AV98" s="28" t="s">
        <v>243</v>
      </c>
      <c r="AW98" s="28" t="s">
        <v>243</v>
      </c>
      <c r="AX98" s="28" t="s">
        <v>243</v>
      </c>
      <c r="AY98" s="28" t="s">
        <v>243</v>
      </c>
      <c r="AZ98" s="38" t="s">
        <v>252</v>
      </c>
      <c r="BA98" s="59" t="s">
        <v>341</v>
      </c>
      <c r="BB98" s="155" t="s">
        <v>81</v>
      </c>
      <c r="BC98" s="155" t="s">
        <v>278</v>
      </c>
      <c r="BD98" s="155" t="s">
        <v>251</v>
      </c>
      <c r="BE98" s="155" t="s">
        <v>250</v>
      </c>
      <c r="BF98" s="29" t="s">
        <v>538</v>
      </c>
      <c r="BG98" s="53" t="s">
        <v>220</v>
      </c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</row>
    <row r="99" spans="1:70" ht="20" x14ac:dyDescent="0.2">
      <c r="A99" s="66" t="s">
        <v>539</v>
      </c>
      <c r="B99" s="38" t="s">
        <v>252</v>
      </c>
      <c r="C99" s="38" t="s">
        <v>252</v>
      </c>
      <c r="D99" s="155" t="s">
        <v>314</v>
      </c>
      <c r="E99" s="155" t="s">
        <v>314</v>
      </c>
      <c r="F99" s="28" t="s">
        <v>243</v>
      </c>
      <c r="G99" s="28" t="s">
        <v>243</v>
      </c>
      <c r="H99" s="28" t="s">
        <v>243</v>
      </c>
      <c r="I99" s="28" t="s">
        <v>243</v>
      </c>
      <c r="J99" s="38" t="s">
        <v>252</v>
      </c>
      <c r="K99" s="38" t="s">
        <v>252</v>
      </c>
      <c r="L99" s="155" t="s">
        <v>313</v>
      </c>
      <c r="M99" s="155" t="s">
        <v>313</v>
      </c>
      <c r="N99" s="155" t="s">
        <v>540</v>
      </c>
      <c r="O99" s="155" t="s">
        <v>250</v>
      </c>
      <c r="P99" s="155" t="s">
        <v>314</v>
      </c>
      <c r="Q99" s="155" t="s">
        <v>541</v>
      </c>
      <c r="R99" s="155" t="s">
        <v>314</v>
      </c>
      <c r="S99" s="155" t="s">
        <v>541</v>
      </c>
      <c r="T99" s="28" t="s">
        <v>243</v>
      </c>
      <c r="U99" s="28" t="s">
        <v>243</v>
      </c>
      <c r="V99" s="28" t="s">
        <v>243</v>
      </c>
      <c r="W99" s="28" t="s">
        <v>243</v>
      </c>
      <c r="X99" s="38" t="s">
        <v>252</v>
      </c>
      <c r="Y99" s="38" t="s">
        <v>252</v>
      </c>
      <c r="Z99" s="155" t="s">
        <v>313</v>
      </c>
      <c r="AA99" s="155" t="s">
        <v>313</v>
      </c>
      <c r="AB99" s="38" t="s">
        <v>337</v>
      </c>
      <c r="AC99" s="155" t="s">
        <v>250</v>
      </c>
      <c r="AD99" s="155" t="s">
        <v>314</v>
      </c>
      <c r="AE99" s="155" t="s">
        <v>541</v>
      </c>
      <c r="AF99" s="155" t="s">
        <v>314</v>
      </c>
      <c r="AG99" s="155" t="s">
        <v>541</v>
      </c>
      <c r="AH99" s="28" t="s">
        <v>243</v>
      </c>
      <c r="AI99" s="28" t="s">
        <v>243</v>
      </c>
      <c r="AJ99" s="28" t="s">
        <v>243</v>
      </c>
      <c r="AK99" s="28" t="s">
        <v>243</v>
      </c>
      <c r="AL99" s="38" t="s">
        <v>252</v>
      </c>
      <c r="AM99" s="38" t="s">
        <v>252</v>
      </c>
      <c r="AN99" s="155" t="s">
        <v>313</v>
      </c>
      <c r="AO99" s="155" t="s">
        <v>313</v>
      </c>
      <c r="AP99" s="155" t="s">
        <v>540</v>
      </c>
      <c r="AQ99" s="37" t="s">
        <v>269</v>
      </c>
      <c r="AR99" s="155" t="s">
        <v>314</v>
      </c>
      <c r="AS99" s="155" t="s">
        <v>541</v>
      </c>
      <c r="AT99" s="155" t="s">
        <v>314</v>
      </c>
      <c r="AU99" s="155" t="s">
        <v>541</v>
      </c>
      <c r="AV99" s="28" t="s">
        <v>243</v>
      </c>
      <c r="AW99" s="28" t="s">
        <v>243</v>
      </c>
      <c r="AX99" s="28" t="s">
        <v>243</v>
      </c>
      <c r="AY99" s="28" t="s">
        <v>243</v>
      </c>
      <c r="AZ99" s="38" t="s">
        <v>252</v>
      </c>
      <c r="BA99" s="38" t="s">
        <v>252</v>
      </c>
      <c r="BB99" s="155" t="s">
        <v>313</v>
      </c>
      <c r="BC99" s="155" t="s">
        <v>313</v>
      </c>
      <c r="BD99" s="155" t="s">
        <v>251</v>
      </c>
      <c r="BE99" s="155" t="s">
        <v>250</v>
      </c>
      <c r="BF99" s="29" t="s">
        <v>542</v>
      </c>
      <c r="BG99" s="53" t="s">
        <v>220</v>
      </c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</row>
    <row r="100" spans="1:70" ht="20" x14ac:dyDescent="0.2">
      <c r="A100" s="56" t="s">
        <v>543</v>
      </c>
      <c r="B100" s="155" t="s">
        <v>322</v>
      </c>
      <c r="C100" s="155" t="s">
        <v>488</v>
      </c>
      <c r="D100" s="155" t="s">
        <v>486</v>
      </c>
      <c r="E100" s="38" t="s">
        <v>252</v>
      </c>
      <c r="F100" s="28" t="s">
        <v>243</v>
      </c>
      <c r="G100" s="28" t="s">
        <v>243</v>
      </c>
      <c r="H100" s="28" t="s">
        <v>243</v>
      </c>
      <c r="I100" s="28" t="s">
        <v>243</v>
      </c>
      <c r="J100" s="155" t="s">
        <v>486</v>
      </c>
      <c r="K100" s="60" t="s">
        <v>310</v>
      </c>
      <c r="L100" s="155" t="s">
        <v>544</v>
      </c>
      <c r="M100" s="155" t="s">
        <v>486</v>
      </c>
      <c r="N100" s="38" t="s">
        <v>252</v>
      </c>
      <c r="O100" s="155" t="s">
        <v>250</v>
      </c>
      <c r="P100" s="155" t="s">
        <v>488</v>
      </c>
      <c r="Q100" s="155" t="s">
        <v>488</v>
      </c>
      <c r="R100" s="155" t="s">
        <v>486</v>
      </c>
      <c r="S100" s="38" t="s">
        <v>252</v>
      </c>
      <c r="T100" s="28" t="s">
        <v>243</v>
      </c>
      <c r="U100" s="28" t="s">
        <v>243</v>
      </c>
      <c r="V100" s="28" t="s">
        <v>243</v>
      </c>
      <c r="W100" s="28" t="s">
        <v>243</v>
      </c>
      <c r="X100" s="155" t="s">
        <v>486</v>
      </c>
      <c r="Y100" s="60" t="s">
        <v>310</v>
      </c>
      <c r="Z100" s="155" t="s">
        <v>544</v>
      </c>
      <c r="AA100" s="155" t="s">
        <v>486</v>
      </c>
      <c r="AB100" s="38" t="s">
        <v>252</v>
      </c>
      <c r="AC100" s="155" t="s">
        <v>250</v>
      </c>
      <c r="AD100" s="155" t="s">
        <v>488</v>
      </c>
      <c r="AE100" s="155" t="s">
        <v>488</v>
      </c>
      <c r="AF100" s="155" t="s">
        <v>486</v>
      </c>
      <c r="AG100" s="38" t="s">
        <v>252</v>
      </c>
      <c r="AH100" s="28" t="s">
        <v>243</v>
      </c>
      <c r="AI100" s="28" t="s">
        <v>243</v>
      </c>
      <c r="AJ100" s="28" t="s">
        <v>243</v>
      </c>
      <c r="AK100" s="28" t="s">
        <v>243</v>
      </c>
      <c r="AL100" s="155" t="s">
        <v>486</v>
      </c>
      <c r="AM100" s="60" t="s">
        <v>310</v>
      </c>
      <c r="AN100" s="155" t="s">
        <v>544</v>
      </c>
      <c r="AO100" s="38" t="s">
        <v>252</v>
      </c>
      <c r="AP100" s="38" t="s">
        <v>252</v>
      </c>
      <c r="AQ100" s="37" t="s">
        <v>269</v>
      </c>
      <c r="AR100" s="155" t="s">
        <v>488</v>
      </c>
      <c r="AS100" s="155" t="s">
        <v>488</v>
      </c>
      <c r="AT100" s="59" t="s">
        <v>341</v>
      </c>
      <c r="AU100" s="38" t="s">
        <v>252</v>
      </c>
      <c r="AV100" s="28" t="s">
        <v>243</v>
      </c>
      <c r="AW100" s="28" t="s">
        <v>243</v>
      </c>
      <c r="AX100" s="28" t="s">
        <v>243</v>
      </c>
      <c r="AY100" s="28" t="s">
        <v>243</v>
      </c>
      <c r="AZ100" s="155" t="s">
        <v>486</v>
      </c>
      <c r="BA100" s="60" t="s">
        <v>310</v>
      </c>
      <c r="BB100" s="60" t="s">
        <v>321</v>
      </c>
      <c r="BC100" s="38" t="s">
        <v>252</v>
      </c>
      <c r="BD100" s="155" t="s">
        <v>251</v>
      </c>
      <c r="BE100" s="155" t="s">
        <v>251</v>
      </c>
      <c r="BF100" s="55" t="s">
        <v>545</v>
      </c>
      <c r="BG100" s="53" t="s">
        <v>220</v>
      </c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</row>
    <row r="101" spans="1:70" ht="20" x14ac:dyDescent="0.2">
      <c r="A101" s="66" t="s">
        <v>546</v>
      </c>
      <c r="B101" s="38" t="s">
        <v>252</v>
      </c>
      <c r="C101" s="38" t="s">
        <v>252</v>
      </c>
      <c r="D101" s="155" t="s">
        <v>314</v>
      </c>
      <c r="E101" s="155" t="s">
        <v>314</v>
      </c>
      <c r="F101" s="28" t="s">
        <v>243</v>
      </c>
      <c r="G101" s="28" t="s">
        <v>243</v>
      </c>
      <c r="H101" s="28" t="s">
        <v>243</v>
      </c>
      <c r="I101" s="28" t="s">
        <v>243</v>
      </c>
      <c r="J101" s="38" t="s">
        <v>252</v>
      </c>
      <c r="K101" s="38" t="s">
        <v>252</v>
      </c>
      <c r="L101" s="155" t="s">
        <v>313</v>
      </c>
      <c r="M101" s="155" t="s">
        <v>313</v>
      </c>
      <c r="N101" s="155" t="s">
        <v>547</v>
      </c>
      <c r="O101" s="155" t="s">
        <v>250</v>
      </c>
      <c r="P101" s="155" t="s">
        <v>314</v>
      </c>
      <c r="Q101" s="155" t="s">
        <v>541</v>
      </c>
      <c r="R101" s="155" t="s">
        <v>314</v>
      </c>
      <c r="S101" s="155" t="s">
        <v>541</v>
      </c>
      <c r="T101" s="28" t="s">
        <v>243</v>
      </c>
      <c r="U101" s="28" t="s">
        <v>243</v>
      </c>
      <c r="V101" s="28" t="s">
        <v>243</v>
      </c>
      <c r="W101" s="28" t="s">
        <v>243</v>
      </c>
      <c r="X101" s="38" t="s">
        <v>252</v>
      </c>
      <c r="Y101" s="38" t="s">
        <v>252</v>
      </c>
      <c r="Z101" s="155" t="s">
        <v>313</v>
      </c>
      <c r="AA101" s="155" t="s">
        <v>313</v>
      </c>
      <c r="AB101" s="38" t="s">
        <v>252</v>
      </c>
      <c r="AC101" s="155" t="s">
        <v>250</v>
      </c>
      <c r="AD101" s="155" t="s">
        <v>314</v>
      </c>
      <c r="AE101" s="155" t="s">
        <v>541</v>
      </c>
      <c r="AF101" s="155" t="s">
        <v>314</v>
      </c>
      <c r="AG101" s="155" t="s">
        <v>541</v>
      </c>
      <c r="AH101" s="28" t="s">
        <v>243</v>
      </c>
      <c r="AI101" s="28" t="s">
        <v>243</v>
      </c>
      <c r="AJ101" s="28" t="s">
        <v>243</v>
      </c>
      <c r="AK101" s="28" t="s">
        <v>243</v>
      </c>
      <c r="AL101" s="38" t="s">
        <v>252</v>
      </c>
      <c r="AM101" s="38" t="s">
        <v>252</v>
      </c>
      <c r="AN101" s="155" t="s">
        <v>313</v>
      </c>
      <c r="AO101" s="155" t="s">
        <v>313</v>
      </c>
      <c r="AP101" s="155" t="s">
        <v>547</v>
      </c>
      <c r="AQ101" s="37" t="s">
        <v>269</v>
      </c>
      <c r="AR101" s="155" t="s">
        <v>314</v>
      </c>
      <c r="AS101" s="155" t="s">
        <v>541</v>
      </c>
      <c r="AT101" s="155" t="s">
        <v>314</v>
      </c>
      <c r="AU101" s="155" t="s">
        <v>541</v>
      </c>
      <c r="AV101" s="28" t="s">
        <v>243</v>
      </c>
      <c r="AW101" s="28" t="s">
        <v>243</v>
      </c>
      <c r="AX101" s="28" t="s">
        <v>243</v>
      </c>
      <c r="AY101" s="28" t="s">
        <v>243</v>
      </c>
      <c r="AZ101" s="38" t="s">
        <v>252</v>
      </c>
      <c r="BA101" s="38" t="s">
        <v>252</v>
      </c>
      <c r="BB101" s="155" t="s">
        <v>313</v>
      </c>
      <c r="BC101" s="155" t="s">
        <v>313</v>
      </c>
      <c r="BD101" s="155" t="s">
        <v>250</v>
      </c>
      <c r="BE101" s="155" t="s">
        <v>251</v>
      </c>
      <c r="BF101" s="55" t="s">
        <v>543</v>
      </c>
      <c r="BG101" s="53" t="s">
        <v>220</v>
      </c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</row>
    <row r="102" spans="1:70" ht="20" x14ac:dyDescent="0.2">
      <c r="A102" s="65" t="s">
        <v>548</v>
      </c>
      <c r="B102" s="38" t="s">
        <v>252</v>
      </c>
      <c r="C102" s="38" t="s">
        <v>252</v>
      </c>
      <c r="D102" s="155" t="s">
        <v>332</v>
      </c>
      <c r="E102" s="155" t="s">
        <v>332</v>
      </c>
      <c r="F102" s="28" t="s">
        <v>243</v>
      </c>
      <c r="G102" s="28" t="s">
        <v>243</v>
      </c>
      <c r="H102" s="28" t="s">
        <v>243</v>
      </c>
      <c r="I102" s="28" t="s">
        <v>243</v>
      </c>
      <c r="J102" s="155" t="s">
        <v>332</v>
      </c>
      <c r="K102" s="155" t="s">
        <v>332</v>
      </c>
      <c r="L102" s="155" t="s">
        <v>332</v>
      </c>
      <c r="M102" s="38" t="s">
        <v>252</v>
      </c>
      <c r="N102" s="155" t="s">
        <v>332</v>
      </c>
      <c r="O102" s="155" t="s">
        <v>250</v>
      </c>
      <c r="P102" s="38" t="s">
        <v>252</v>
      </c>
      <c r="Q102" s="38" t="s">
        <v>252</v>
      </c>
      <c r="R102" s="155" t="s">
        <v>332</v>
      </c>
      <c r="S102" s="155" t="s">
        <v>332</v>
      </c>
      <c r="T102" s="28" t="s">
        <v>243</v>
      </c>
      <c r="U102" s="28" t="s">
        <v>243</v>
      </c>
      <c r="V102" s="28" t="s">
        <v>243</v>
      </c>
      <c r="W102" s="28" t="s">
        <v>243</v>
      </c>
      <c r="X102" s="155" t="s">
        <v>332</v>
      </c>
      <c r="Y102" s="155" t="s">
        <v>332</v>
      </c>
      <c r="Z102" s="155" t="s">
        <v>332</v>
      </c>
      <c r="AA102" s="38" t="s">
        <v>252</v>
      </c>
      <c r="AB102" s="155" t="s">
        <v>332</v>
      </c>
      <c r="AC102" s="155" t="s">
        <v>250</v>
      </c>
      <c r="AD102" s="155" t="s">
        <v>332</v>
      </c>
      <c r="AE102" s="38" t="s">
        <v>252</v>
      </c>
      <c r="AF102" s="155" t="s">
        <v>332</v>
      </c>
      <c r="AG102" s="155" t="s">
        <v>332</v>
      </c>
      <c r="AH102" s="28" t="s">
        <v>243</v>
      </c>
      <c r="AI102" s="28" t="s">
        <v>243</v>
      </c>
      <c r="AJ102" s="28" t="s">
        <v>243</v>
      </c>
      <c r="AK102" s="28" t="s">
        <v>243</v>
      </c>
      <c r="AL102" s="155" t="s">
        <v>332</v>
      </c>
      <c r="AM102" s="155" t="s">
        <v>332</v>
      </c>
      <c r="AN102" s="155" t="s">
        <v>332</v>
      </c>
      <c r="AO102" s="38" t="s">
        <v>252</v>
      </c>
      <c r="AP102" s="155" t="s">
        <v>332</v>
      </c>
      <c r="AQ102" s="37" t="s">
        <v>269</v>
      </c>
      <c r="AR102" s="155" t="s">
        <v>332</v>
      </c>
      <c r="AS102" s="38" t="s">
        <v>252</v>
      </c>
      <c r="AT102" s="155" t="s">
        <v>332</v>
      </c>
      <c r="AU102" s="155" t="s">
        <v>332</v>
      </c>
      <c r="AV102" s="28" t="s">
        <v>243</v>
      </c>
      <c r="AW102" s="28" t="s">
        <v>243</v>
      </c>
      <c r="AX102" s="28" t="s">
        <v>243</v>
      </c>
      <c r="AY102" s="28" t="s">
        <v>243</v>
      </c>
      <c r="AZ102" s="155" t="s">
        <v>332</v>
      </c>
      <c r="BA102" s="155" t="s">
        <v>332</v>
      </c>
      <c r="BB102" s="155" t="s">
        <v>332</v>
      </c>
      <c r="BC102" s="38" t="s">
        <v>252</v>
      </c>
      <c r="BD102" s="155" t="s">
        <v>250</v>
      </c>
      <c r="BE102" s="155" t="s">
        <v>251</v>
      </c>
      <c r="BF102" s="55" t="s">
        <v>545</v>
      </c>
      <c r="BG102" s="53" t="s">
        <v>220</v>
      </c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</row>
    <row r="103" spans="1:70" ht="20" x14ac:dyDescent="0.2">
      <c r="A103" s="65" t="s">
        <v>549</v>
      </c>
      <c r="B103" s="155" t="s">
        <v>550</v>
      </c>
      <c r="C103" s="155" t="s">
        <v>550</v>
      </c>
      <c r="D103" s="38" t="s">
        <v>252</v>
      </c>
      <c r="E103" s="38" t="s">
        <v>252</v>
      </c>
      <c r="F103" s="28" t="s">
        <v>243</v>
      </c>
      <c r="G103" s="28" t="s">
        <v>243</v>
      </c>
      <c r="H103" s="28" t="s">
        <v>243</v>
      </c>
      <c r="I103" s="28" t="s">
        <v>243</v>
      </c>
      <c r="J103" s="155" t="s">
        <v>550</v>
      </c>
      <c r="K103" s="155" t="s">
        <v>550</v>
      </c>
      <c r="L103" s="155" t="s">
        <v>550</v>
      </c>
      <c r="M103" s="155" t="s">
        <v>550</v>
      </c>
      <c r="N103" s="155" t="s">
        <v>550</v>
      </c>
      <c r="O103" s="155" t="s">
        <v>250</v>
      </c>
      <c r="P103" s="155" t="s">
        <v>550</v>
      </c>
      <c r="Q103" s="38" t="s">
        <v>252</v>
      </c>
      <c r="R103" s="38" t="s">
        <v>252</v>
      </c>
      <c r="S103" s="38" t="s">
        <v>252</v>
      </c>
      <c r="T103" s="28" t="s">
        <v>243</v>
      </c>
      <c r="U103" s="28" t="s">
        <v>243</v>
      </c>
      <c r="V103" s="28" t="s">
        <v>243</v>
      </c>
      <c r="W103" s="28" t="s">
        <v>243</v>
      </c>
      <c r="X103" s="155" t="s">
        <v>550</v>
      </c>
      <c r="Y103" s="155" t="s">
        <v>550</v>
      </c>
      <c r="Z103" s="155" t="s">
        <v>550</v>
      </c>
      <c r="AA103" s="155" t="s">
        <v>550</v>
      </c>
      <c r="AB103" s="38" t="s">
        <v>252</v>
      </c>
      <c r="AC103" s="155" t="s">
        <v>250</v>
      </c>
      <c r="AD103" s="155" t="s">
        <v>344</v>
      </c>
      <c r="AE103" s="155" t="s">
        <v>344</v>
      </c>
      <c r="AF103" s="38" t="s">
        <v>252</v>
      </c>
      <c r="AG103" s="38" t="s">
        <v>252</v>
      </c>
      <c r="AH103" s="28" t="s">
        <v>243</v>
      </c>
      <c r="AI103" s="28" t="s">
        <v>243</v>
      </c>
      <c r="AJ103" s="28" t="s">
        <v>243</v>
      </c>
      <c r="AK103" s="28" t="s">
        <v>243</v>
      </c>
      <c r="AL103" s="155" t="s">
        <v>344</v>
      </c>
      <c r="AM103" s="155" t="s">
        <v>344</v>
      </c>
      <c r="AN103" s="155" t="s">
        <v>344</v>
      </c>
      <c r="AO103" s="155" t="s">
        <v>344</v>
      </c>
      <c r="AP103" s="155" t="s">
        <v>344</v>
      </c>
      <c r="AQ103" s="37" t="s">
        <v>269</v>
      </c>
      <c r="AR103" s="155" t="s">
        <v>344</v>
      </c>
      <c r="AS103" s="59" t="s">
        <v>341</v>
      </c>
      <c r="AT103" s="38" t="s">
        <v>252</v>
      </c>
      <c r="AU103" s="38" t="s">
        <v>252</v>
      </c>
      <c r="AV103" s="28" t="s">
        <v>243</v>
      </c>
      <c r="AW103" s="28" t="s">
        <v>243</v>
      </c>
      <c r="AX103" s="28" t="s">
        <v>243</v>
      </c>
      <c r="AY103" s="28" t="s">
        <v>243</v>
      </c>
      <c r="AZ103" s="38" t="s">
        <v>252</v>
      </c>
      <c r="BA103" s="155" t="s">
        <v>344</v>
      </c>
      <c r="BB103" s="155" t="s">
        <v>551</v>
      </c>
      <c r="BC103" s="155" t="s">
        <v>344</v>
      </c>
      <c r="BD103" s="155" t="s">
        <v>250</v>
      </c>
      <c r="BE103" s="155" t="s">
        <v>251</v>
      </c>
      <c r="BF103" s="55" t="s">
        <v>418</v>
      </c>
      <c r="BG103" s="53" t="s">
        <v>220</v>
      </c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</row>
    <row r="104" spans="1:70" ht="20" x14ac:dyDescent="0.2">
      <c r="A104" s="66" t="s">
        <v>552</v>
      </c>
      <c r="B104" s="155" t="s">
        <v>81</v>
      </c>
      <c r="C104" s="38" t="s">
        <v>252</v>
      </c>
      <c r="D104" s="155" t="s">
        <v>81</v>
      </c>
      <c r="E104" s="38" t="s">
        <v>252</v>
      </c>
      <c r="F104" s="28" t="s">
        <v>243</v>
      </c>
      <c r="G104" s="28" t="s">
        <v>243</v>
      </c>
      <c r="H104" s="28" t="s">
        <v>243</v>
      </c>
      <c r="I104" s="28" t="s">
        <v>243</v>
      </c>
      <c r="J104" s="155" t="s">
        <v>81</v>
      </c>
      <c r="K104" s="38" t="s">
        <v>252</v>
      </c>
      <c r="L104" s="155" t="s">
        <v>81</v>
      </c>
      <c r="M104" s="38" t="s">
        <v>252</v>
      </c>
      <c r="N104" s="155" t="s">
        <v>268</v>
      </c>
      <c r="O104" s="155" t="s">
        <v>250</v>
      </c>
      <c r="P104" s="59" t="s">
        <v>341</v>
      </c>
      <c r="Q104" s="38" t="s">
        <v>252</v>
      </c>
      <c r="R104" s="155" t="s">
        <v>81</v>
      </c>
      <c r="S104" s="38" t="s">
        <v>252</v>
      </c>
      <c r="T104" s="28" t="s">
        <v>243</v>
      </c>
      <c r="U104" s="28" t="s">
        <v>243</v>
      </c>
      <c r="V104" s="28" t="s">
        <v>243</v>
      </c>
      <c r="W104" s="28" t="s">
        <v>243</v>
      </c>
      <c r="X104" s="155" t="s">
        <v>81</v>
      </c>
      <c r="Y104" s="38" t="s">
        <v>252</v>
      </c>
      <c r="Z104" s="155" t="s">
        <v>81</v>
      </c>
      <c r="AA104" s="38" t="s">
        <v>252</v>
      </c>
      <c r="AB104" s="155" t="s">
        <v>268</v>
      </c>
      <c r="AC104" s="155" t="s">
        <v>250</v>
      </c>
      <c r="AD104" s="155" t="s">
        <v>81</v>
      </c>
      <c r="AE104" s="38" t="s">
        <v>252</v>
      </c>
      <c r="AF104" s="155" t="s">
        <v>81</v>
      </c>
      <c r="AG104" s="38" t="s">
        <v>252</v>
      </c>
      <c r="AH104" s="28" t="s">
        <v>243</v>
      </c>
      <c r="AI104" s="28" t="s">
        <v>243</v>
      </c>
      <c r="AJ104" s="28" t="s">
        <v>243</v>
      </c>
      <c r="AK104" s="28" t="s">
        <v>243</v>
      </c>
      <c r="AL104" s="155" t="s">
        <v>81</v>
      </c>
      <c r="AM104" s="38" t="s">
        <v>252</v>
      </c>
      <c r="AN104" s="155" t="s">
        <v>81</v>
      </c>
      <c r="AO104" s="38" t="s">
        <v>252</v>
      </c>
      <c r="AP104" s="155" t="s">
        <v>268</v>
      </c>
      <c r="AQ104" s="37" t="s">
        <v>269</v>
      </c>
      <c r="AR104" s="155" t="s">
        <v>81</v>
      </c>
      <c r="AS104" s="38" t="s">
        <v>252</v>
      </c>
      <c r="AT104" s="155" t="s">
        <v>81</v>
      </c>
      <c r="AU104" s="38" t="s">
        <v>252</v>
      </c>
      <c r="AV104" s="28" t="s">
        <v>243</v>
      </c>
      <c r="AW104" s="28" t="s">
        <v>243</v>
      </c>
      <c r="AX104" s="28" t="s">
        <v>243</v>
      </c>
      <c r="AY104" s="28" t="s">
        <v>243</v>
      </c>
      <c r="AZ104" s="155" t="s">
        <v>81</v>
      </c>
      <c r="BA104" s="38" t="s">
        <v>252</v>
      </c>
      <c r="BB104" s="155" t="s">
        <v>81</v>
      </c>
      <c r="BC104" s="38" t="s">
        <v>252</v>
      </c>
      <c r="BD104" s="155" t="s">
        <v>250</v>
      </c>
      <c r="BE104" s="8"/>
      <c r="BF104" s="55" t="s">
        <v>549</v>
      </c>
      <c r="BG104" s="53" t="s">
        <v>220</v>
      </c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</row>
    <row r="105" spans="1:70" ht="18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29" t="s">
        <v>542</v>
      </c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</row>
    <row r="106" spans="1:70" ht="18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</row>
    <row r="107" spans="1:70" ht="20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155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</row>
    <row r="108" spans="1:70" ht="20" x14ac:dyDescent="0.2">
      <c r="A108" s="179" t="s">
        <v>553</v>
      </c>
      <c r="B108" s="155" t="s">
        <v>314</v>
      </c>
      <c r="C108" s="38" t="s">
        <v>252</v>
      </c>
      <c r="D108" s="155" t="s">
        <v>314</v>
      </c>
      <c r="E108" s="155" t="s">
        <v>314</v>
      </c>
      <c r="F108" s="28" t="s">
        <v>243</v>
      </c>
      <c r="G108" s="28" t="s">
        <v>243</v>
      </c>
      <c r="H108" s="28" t="s">
        <v>243</v>
      </c>
      <c r="I108" s="28" t="s">
        <v>243</v>
      </c>
      <c r="J108" s="155" t="s">
        <v>314</v>
      </c>
      <c r="K108" s="155" t="s">
        <v>314</v>
      </c>
      <c r="L108" s="155" t="s">
        <v>313</v>
      </c>
      <c r="M108" s="155" t="s">
        <v>313</v>
      </c>
      <c r="N108" s="155" t="s">
        <v>547</v>
      </c>
      <c r="O108" s="155" t="s">
        <v>250</v>
      </c>
      <c r="P108" s="155" t="s">
        <v>314</v>
      </c>
      <c r="Q108" s="38" t="s">
        <v>252</v>
      </c>
      <c r="R108" s="155" t="s">
        <v>314</v>
      </c>
      <c r="S108" s="38" t="s">
        <v>252</v>
      </c>
      <c r="T108" s="28" t="s">
        <v>243</v>
      </c>
      <c r="U108" s="28" t="s">
        <v>243</v>
      </c>
      <c r="V108" s="28" t="s">
        <v>243</v>
      </c>
      <c r="W108" s="28" t="s">
        <v>243</v>
      </c>
      <c r="X108" s="155" t="s">
        <v>314</v>
      </c>
      <c r="Y108" s="155" t="s">
        <v>314</v>
      </c>
      <c r="Z108" s="155" t="s">
        <v>313</v>
      </c>
      <c r="AA108" s="155" t="s">
        <v>313</v>
      </c>
      <c r="AB108" s="38" t="s">
        <v>252</v>
      </c>
      <c r="AC108" s="155" t="s">
        <v>250</v>
      </c>
      <c r="AD108" s="155" t="s">
        <v>314</v>
      </c>
      <c r="AE108" s="38" t="s">
        <v>252</v>
      </c>
      <c r="AF108" s="155" t="s">
        <v>314</v>
      </c>
      <c r="AG108" s="38" t="s">
        <v>252</v>
      </c>
      <c r="AH108" s="28" t="s">
        <v>243</v>
      </c>
      <c r="AI108" s="28" t="s">
        <v>243</v>
      </c>
      <c r="AJ108" s="28" t="s">
        <v>243</v>
      </c>
      <c r="AK108" s="28" t="s">
        <v>243</v>
      </c>
      <c r="AL108" s="155" t="s">
        <v>314</v>
      </c>
      <c r="AM108" s="155" t="s">
        <v>314</v>
      </c>
      <c r="AN108" s="155" t="s">
        <v>313</v>
      </c>
      <c r="AO108" s="38" t="s">
        <v>252</v>
      </c>
      <c r="AP108" s="155" t="s">
        <v>547</v>
      </c>
      <c r="AQ108" s="37" t="s">
        <v>269</v>
      </c>
      <c r="AR108" s="155" t="s">
        <v>314</v>
      </c>
      <c r="AS108" s="38" t="s">
        <v>252</v>
      </c>
      <c r="AT108" s="155" t="s">
        <v>314</v>
      </c>
      <c r="AU108" s="38" t="s">
        <v>252</v>
      </c>
      <c r="AV108" s="28" t="s">
        <v>243</v>
      </c>
      <c r="AW108" s="28" t="s">
        <v>243</v>
      </c>
      <c r="AX108" s="28" t="s">
        <v>243</v>
      </c>
      <c r="AY108" s="28" t="s">
        <v>243</v>
      </c>
      <c r="AZ108" s="155" t="s">
        <v>314</v>
      </c>
      <c r="BA108" s="155" t="s">
        <v>314</v>
      </c>
      <c r="BB108" s="155" t="s">
        <v>313</v>
      </c>
      <c r="BC108" s="38" t="s">
        <v>252</v>
      </c>
      <c r="BD108" s="155" t="s">
        <v>250</v>
      </c>
      <c r="BE108" s="155" t="s">
        <v>251</v>
      </c>
      <c r="BF108" s="8"/>
      <c r="BG108" s="53" t="s">
        <v>220</v>
      </c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</row>
    <row r="109" spans="1:70" ht="20" x14ac:dyDescent="0.2">
      <c r="A109" s="66" t="s">
        <v>554</v>
      </c>
      <c r="B109" s="155" t="s">
        <v>343</v>
      </c>
      <c r="C109" s="38" t="s">
        <v>252</v>
      </c>
      <c r="D109" s="155" t="s">
        <v>343</v>
      </c>
      <c r="E109" s="38" t="s">
        <v>252</v>
      </c>
      <c r="F109" s="28" t="s">
        <v>243</v>
      </c>
      <c r="G109" s="28" t="s">
        <v>243</v>
      </c>
      <c r="H109" s="28" t="s">
        <v>243</v>
      </c>
      <c r="I109" s="28" t="s">
        <v>243</v>
      </c>
      <c r="J109" s="155" t="s">
        <v>343</v>
      </c>
      <c r="K109" s="38" t="s">
        <v>252</v>
      </c>
      <c r="L109" s="155" t="s">
        <v>343</v>
      </c>
      <c r="M109" s="38" t="s">
        <v>252</v>
      </c>
      <c r="N109" s="155" t="s">
        <v>343</v>
      </c>
      <c r="O109" s="155" t="s">
        <v>250</v>
      </c>
      <c r="P109" s="155" t="s">
        <v>343</v>
      </c>
      <c r="Q109" s="38" t="s">
        <v>252</v>
      </c>
      <c r="R109" s="155" t="s">
        <v>343</v>
      </c>
      <c r="S109" s="38" t="s">
        <v>252</v>
      </c>
      <c r="T109" s="28" t="s">
        <v>243</v>
      </c>
      <c r="U109" s="28" t="s">
        <v>243</v>
      </c>
      <c r="V109" s="28" t="s">
        <v>243</v>
      </c>
      <c r="W109" s="28" t="s">
        <v>243</v>
      </c>
      <c r="X109" s="155" t="s">
        <v>343</v>
      </c>
      <c r="Y109" s="38" t="s">
        <v>252</v>
      </c>
      <c r="Z109" s="155" t="s">
        <v>343</v>
      </c>
      <c r="AA109" s="38" t="s">
        <v>252</v>
      </c>
      <c r="AB109" s="155" t="s">
        <v>343</v>
      </c>
      <c r="AC109" s="155" t="s">
        <v>250</v>
      </c>
      <c r="AD109" s="155" t="s">
        <v>343</v>
      </c>
      <c r="AE109" s="38" t="s">
        <v>252</v>
      </c>
      <c r="AF109" s="155" t="s">
        <v>343</v>
      </c>
      <c r="AG109" s="38" t="s">
        <v>252</v>
      </c>
      <c r="AH109" s="28" t="s">
        <v>243</v>
      </c>
      <c r="AI109" s="28" t="s">
        <v>243</v>
      </c>
      <c r="AJ109" s="28" t="s">
        <v>243</v>
      </c>
      <c r="AK109" s="28" t="s">
        <v>243</v>
      </c>
      <c r="AL109" s="155" t="s">
        <v>343</v>
      </c>
      <c r="AM109" s="38" t="s">
        <v>252</v>
      </c>
      <c r="AN109" s="155" t="s">
        <v>343</v>
      </c>
      <c r="AO109" s="38" t="s">
        <v>252</v>
      </c>
      <c r="AP109" s="155" t="s">
        <v>343</v>
      </c>
      <c r="AQ109" s="155" t="s">
        <v>250</v>
      </c>
      <c r="AR109" s="155" t="s">
        <v>343</v>
      </c>
      <c r="AS109" s="38" t="s">
        <v>252</v>
      </c>
      <c r="AT109" s="155" t="s">
        <v>343</v>
      </c>
      <c r="AU109" s="38" t="s">
        <v>252</v>
      </c>
      <c r="AV109" s="28" t="s">
        <v>243</v>
      </c>
      <c r="AW109" s="28" t="s">
        <v>243</v>
      </c>
      <c r="AX109" s="28" t="s">
        <v>243</v>
      </c>
      <c r="AY109" s="28" t="s">
        <v>243</v>
      </c>
      <c r="AZ109" s="155" t="s">
        <v>343</v>
      </c>
      <c r="BA109" s="38" t="s">
        <v>252</v>
      </c>
      <c r="BB109" s="155" t="s">
        <v>343</v>
      </c>
      <c r="BC109" s="38" t="s">
        <v>252</v>
      </c>
      <c r="BD109" s="155" t="s">
        <v>250</v>
      </c>
      <c r="BE109" s="8" t="s">
        <v>251</v>
      </c>
      <c r="BF109" s="154" t="s">
        <v>545</v>
      </c>
      <c r="BG109" s="53" t="s">
        <v>220</v>
      </c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</row>
    <row r="110" spans="1:70" ht="18" x14ac:dyDescent="0.2">
      <c r="A110" s="8" t="s">
        <v>555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55" t="s">
        <v>521</v>
      </c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</row>
    <row r="111" spans="1:70" ht="20" x14ac:dyDescent="0.2">
      <c r="A111" s="77" t="s">
        <v>556</v>
      </c>
      <c r="B111" s="155" t="s">
        <v>331</v>
      </c>
      <c r="C111" s="38" t="s">
        <v>252</v>
      </c>
      <c r="D111" s="38" t="s">
        <v>252</v>
      </c>
      <c r="E111" s="38" t="s">
        <v>252</v>
      </c>
      <c r="F111" s="28" t="s">
        <v>243</v>
      </c>
      <c r="G111" s="28" t="s">
        <v>243</v>
      </c>
      <c r="H111" s="28" t="s">
        <v>243</v>
      </c>
      <c r="I111" s="28" t="s">
        <v>243</v>
      </c>
      <c r="J111" s="61" t="s">
        <v>330</v>
      </c>
      <c r="K111" s="38" t="s">
        <v>252</v>
      </c>
      <c r="L111" s="155" t="s">
        <v>319</v>
      </c>
      <c r="M111" s="60" t="s">
        <v>310</v>
      </c>
      <c r="N111" s="155" t="s">
        <v>557</v>
      </c>
      <c r="O111" s="155" t="s">
        <v>250</v>
      </c>
      <c r="P111" s="155" t="s">
        <v>320</v>
      </c>
      <c r="Q111" s="38" t="s">
        <v>252</v>
      </c>
      <c r="R111" s="38" t="s">
        <v>252</v>
      </c>
      <c r="S111" s="38" t="s">
        <v>252</v>
      </c>
      <c r="T111" s="28" t="s">
        <v>243</v>
      </c>
      <c r="U111" s="28" t="s">
        <v>243</v>
      </c>
      <c r="V111" s="28" t="s">
        <v>243</v>
      </c>
      <c r="W111" s="28" t="s">
        <v>243</v>
      </c>
      <c r="X111" s="38" t="s">
        <v>252</v>
      </c>
      <c r="Y111" s="38" t="s">
        <v>252</v>
      </c>
      <c r="Z111" s="59" t="s">
        <v>333</v>
      </c>
      <c r="AA111" s="60" t="s">
        <v>310</v>
      </c>
      <c r="AB111" s="155" t="s">
        <v>557</v>
      </c>
      <c r="AC111" s="155" t="s">
        <v>250</v>
      </c>
      <c r="AD111" s="155" t="s">
        <v>320</v>
      </c>
      <c r="AE111" s="38" t="s">
        <v>252</v>
      </c>
      <c r="AF111" s="155" t="s">
        <v>320</v>
      </c>
      <c r="AG111" s="38" t="s">
        <v>252</v>
      </c>
      <c r="AH111" s="28" t="s">
        <v>243</v>
      </c>
      <c r="AI111" s="28" t="s">
        <v>243</v>
      </c>
      <c r="AJ111" s="28" t="s">
        <v>243</v>
      </c>
      <c r="AK111" s="28" t="s">
        <v>243</v>
      </c>
      <c r="AL111" s="38" t="s">
        <v>252</v>
      </c>
      <c r="AM111" s="38" t="s">
        <v>252</v>
      </c>
      <c r="AN111" s="38" t="s">
        <v>252</v>
      </c>
      <c r="AO111" s="60" t="s">
        <v>310</v>
      </c>
      <c r="AP111" s="155" t="s">
        <v>557</v>
      </c>
      <c r="AQ111" s="37" t="s">
        <v>269</v>
      </c>
      <c r="AR111" s="155" t="s">
        <v>320</v>
      </c>
      <c r="AS111" s="38" t="s">
        <v>252</v>
      </c>
      <c r="AT111" s="38" t="s">
        <v>252</v>
      </c>
      <c r="AU111" s="38" t="s">
        <v>252</v>
      </c>
      <c r="AV111" s="28" t="s">
        <v>243</v>
      </c>
      <c r="AW111" s="28" t="s">
        <v>243</v>
      </c>
      <c r="AX111" s="28" t="s">
        <v>243</v>
      </c>
      <c r="AY111" s="28" t="s">
        <v>243</v>
      </c>
      <c r="AZ111" s="38" t="s">
        <v>252</v>
      </c>
      <c r="BA111" s="61" t="s">
        <v>330</v>
      </c>
      <c r="BB111" s="38" t="s">
        <v>252</v>
      </c>
      <c r="BC111" s="38" t="s">
        <v>252</v>
      </c>
      <c r="BD111" s="155" t="s">
        <v>250</v>
      </c>
      <c r="BE111" s="155" t="s">
        <v>251</v>
      </c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</row>
    <row r="112" spans="1:70" ht="20" x14ac:dyDescent="0.2">
      <c r="A112" s="65" t="s">
        <v>558</v>
      </c>
      <c r="B112" s="63" t="s">
        <v>45</v>
      </c>
      <c r="C112" s="63" t="s">
        <v>45</v>
      </c>
      <c r="D112" s="38" t="s">
        <v>312</v>
      </c>
      <c r="E112" s="63" t="s">
        <v>256</v>
      </c>
      <c r="F112" s="28" t="s">
        <v>243</v>
      </c>
      <c r="G112" s="28" t="s">
        <v>243</v>
      </c>
      <c r="H112" s="28" t="s">
        <v>243</v>
      </c>
      <c r="I112" s="28" t="s">
        <v>243</v>
      </c>
      <c r="J112" s="63" t="s">
        <v>45</v>
      </c>
      <c r="K112" s="63" t="s">
        <v>45</v>
      </c>
      <c r="L112" s="63" t="s">
        <v>45</v>
      </c>
      <c r="M112" s="63" t="s">
        <v>45</v>
      </c>
      <c r="N112" s="63" t="s">
        <v>45</v>
      </c>
      <c r="O112" s="63" t="s">
        <v>45</v>
      </c>
      <c r="P112" s="63" t="s">
        <v>45</v>
      </c>
      <c r="Q112" s="63" t="s">
        <v>45</v>
      </c>
      <c r="R112" s="38" t="s">
        <v>312</v>
      </c>
      <c r="S112" s="63" t="s">
        <v>256</v>
      </c>
      <c r="T112" s="28" t="s">
        <v>243</v>
      </c>
      <c r="U112" s="28" t="s">
        <v>243</v>
      </c>
      <c r="V112" s="28" t="s">
        <v>243</v>
      </c>
      <c r="W112" s="28" t="s">
        <v>243</v>
      </c>
      <c r="X112" s="63" t="s">
        <v>45</v>
      </c>
      <c r="Y112" s="63" t="s">
        <v>45</v>
      </c>
      <c r="Z112" s="63" t="s">
        <v>45</v>
      </c>
      <c r="AA112" s="63" t="s">
        <v>45</v>
      </c>
      <c r="AB112" s="63" t="s">
        <v>45</v>
      </c>
      <c r="AC112" s="63" t="s">
        <v>45</v>
      </c>
      <c r="AD112" s="63" t="s">
        <v>45</v>
      </c>
      <c r="AE112" s="63" t="s">
        <v>45</v>
      </c>
      <c r="AF112" s="38" t="s">
        <v>312</v>
      </c>
      <c r="AG112" s="63" t="s">
        <v>256</v>
      </c>
      <c r="AH112" s="28" t="s">
        <v>243</v>
      </c>
      <c r="AI112" s="28" t="s">
        <v>243</v>
      </c>
      <c r="AJ112" s="28" t="s">
        <v>243</v>
      </c>
      <c r="AK112" s="28" t="s">
        <v>243</v>
      </c>
      <c r="AL112" s="155" t="s">
        <v>324</v>
      </c>
      <c r="AM112" s="63" t="s">
        <v>45</v>
      </c>
      <c r="AN112" s="63" t="s">
        <v>45</v>
      </c>
      <c r="AO112" s="63" t="s">
        <v>45</v>
      </c>
      <c r="AP112" s="63" t="s">
        <v>45</v>
      </c>
      <c r="AQ112" s="63" t="s">
        <v>45</v>
      </c>
      <c r="AR112" s="63" t="s">
        <v>45</v>
      </c>
      <c r="AS112" s="63" t="s">
        <v>45</v>
      </c>
      <c r="AT112" s="38" t="s">
        <v>312</v>
      </c>
      <c r="AU112" s="63" t="s">
        <v>256</v>
      </c>
      <c r="AV112" s="28" t="s">
        <v>243</v>
      </c>
      <c r="AW112" s="28" t="s">
        <v>243</v>
      </c>
      <c r="AX112" s="28" t="s">
        <v>243</v>
      </c>
      <c r="AY112" s="28" t="s">
        <v>243</v>
      </c>
      <c r="AZ112" s="63" t="s">
        <v>45</v>
      </c>
      <c r="BA112" s="63" t="s">
        <v>45</v>
      </c>
      <c r="BB112" s="63" t="s">
        <v>45</v>
      </c>
      <c r="BC112" s="63" t="s">
        <v>45</v>
      </c>
      <c r="BD112" s="63" t="s">
        <v>45</v>
      </c>
      <c r="BE112" s="63" t="s">
        <v>45</v>
      </c>
      <c r="BF112" s="180" t="s">
        <v>220</v>
      </c>
      <c r="BG112" s="53" t="s">
        <v>220</v>
      </c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</row>
  </sheetData>
  <mergeCells count="28">
    <mergeCell ref="L1:M1"/>
    <mergeCell ref="B1:C1"/>
    <mergeCell ref="D1:E1"/>
    <mergeCell ref="F1:G1"/>
    <mergeCell ref="H1:I1"/>
    <mergeCell ref="J1:K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X1:AY1"/>
    <mergeCell ref="AZ1:BA1"/>
    <mergeCell ref="BB1:BC1"/>
    <mergeCell ref="BD1:BE1"/>
    <mergeCell ref="AL1:AM1"/>
    <mergeCell ref="AN1:AO1"/>
    <mergeCell ref="AP1:AQ1"/>
    <mergeCell ref="AR1:AS1"/>
    <mergeCell ref="AT1:AU1"/>
    <mergeCell ref="AV1:AW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6C4B02EFC954CA1D2A45DB03AF764" ma:contentTypeVersion="15" ma:contentTypeDescription="Create a new document." ma:contentTypeScope="" ma:versionID="f34866504eb75e9f133f1247f190e066">
  <xsd:schema xmlns:xsd="http://www.w3.org/2001/XMLSchema" xmlns:xs="http://www.w3.org/2001/XMLSchema" xmlns:p="http://schemas.microsoft.com/office/2006/metadata/properties" xmlns:ns2="2c0888d3-878c-433b-9f70-a86f5d3c6feb" xmlns:ns3="d29d4dec-b3a6-486e-afc6-611e7201592c" targetNamespace="http://schemas.microsoft.com/office/2006/metadata/properties" ma:root="true" ma:fieldsID="9ead81600d67eb35daaf8010c1ecfee6" ns2:_="" ns3:_="">
    <xsd:import namespace="2c0888d3-878c-433b-9f70-a86f5d3c6feb"/>
    <xsd:import namespace="d29d4dec-b3a6-486e-afc6-611e72015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888d3-878c-433b-9f70-a86f5d3c6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fe196db-0334-4477-9bbc-2f8ce82265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d4dec-b3a6-486e-afc6-611e7201592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863b81-fa30-40d3-83ff-2b57ef077ca7}" ma:internalName="TaxCatchAll" ma:showField="CatchAllData" ma:web="d29d4dec-b3a6-486e-afc6-611e72015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0888d3-878c-433b-9f70-a86f5d3c6feb">
      <Terms xmlns="http://schemas.microsoft.com/office/infopath/2007/PartnerControls"/>
    </lcf76f155ced4ddcb4097134ff3c332f>
    <TaxCatchAll xmlns="d29d4dec-b3a6-486e-afc6-611e7201592c" xsi:nil="true"/>
    <SharedWithUsers xmlns="d29d4dec-b3a6-486e-afc6-611e7201592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4A6D8AD-8D2E-47B4-8B92-E587354DD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888d3-878c-433b-9f70-a86f5d3c6feb"/>
    <ds:schemaRef ds:uri="d29d4dec-b3a6-486e-afc6-611e720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B62C98-2040-43A4-BEC0-DB7F8A3677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AD3D1F-2D5F-498A-A248-BB87E600A6FB}">
  <ds:schemaRefs>
    <ds:schemaRef ds:uri="http://schemas.microsoft.com/office/2006/metadata/properties"/>
    <ds:schemaRef ds:uri="http://schemas.microsoft.com/office/infopath/2007/PartnerControls"/>
    <ds:schemaRef ds:uri="2c0888d3-878c-433b-9f70-a86f5d3c6feb"/>
    <ds:schemaRef ds:uri="d29d4dec-b3a6-486e-afc6-611e720159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 Schedule</vt:lpstr>
      <vt:lpstr>Block 9</vt:lpstr>
      <vt:lpstr>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Montgomery</cp:lastModifiedBy>
  <cp:revision/>
  <dcterms:created xsi:type="dcterms:W3CDTF">2025-08-11T21:07:33Z</dcterms:created>
  <dcterms:modified xsi:type="dcterms:W3CDTF">2025-12-15T02:27:21Z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0x0101000AD6C4B02EFC954CA1D2A45DB03AF764</vt:lpwstr>
  </property>
  <property fmtid="{D5CDD505-2E9C-101B-9397-08002B2CF9AE}" pid="3" name="Order">
    <vt:r8>106400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